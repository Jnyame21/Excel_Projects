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drawings/drawing24.xml" ContentType="application/vnd.openxmlformats-officedocument.drawingml.chartshapes+xml"/>
  <Override PartName="/xl/charts/chart25.xml" ContentType="application/vnd.openxmlformats-officedocument.drawingml.chart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drawings/drawing30.xml" ContentType="application/vnd.openxmlformats-officedocument.drawingml.chartshapes+xml"/>
  <Override PartName="/xl/charts/chart31.xml" ContentType="application/vnd.openxmlformats-officedocument.drawingml.chart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drawings/drawing36.xml" ContentType="application/vnd.openxmlformats-officedocument.drawingml.chartshapes+xml"/>
  <Override PartName="/xl/charts/chart37.xml" ContentType="application/vnd.openxmlformats-officedocument.drawingml.chart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\Projects\Machine-Learning\Welltesting\"/>
    </mc:Choice>
  </mc:AlternateContent>
  <xr:revisionPtr revIDLastSave="0" documentId="13_ncr:1_{65DAD6D0-5E3A-4F0E-8E75-A8B300A3FB8F}" xr6:coauthVersionLast="47" xr6:coauthVersionMax="47" xr10:uidLastSave="{00000000-0000-0000-0000-000000000000}"/>
  <bookViews>
    <workbookView xWindow="-120" yWindow="-120" windowWidth="20730" windowHeight="11160" activeTab="3" xr2:uid="{648AF9AF-BDD9-4A5F-A458-BB7059D1D8BA}"/>
  </bookViews>
  <sheets>
    <sheet name="Sheet9" sheetId="47" r:id="rId1"/>
    <sheet name="Sheet5" sheetId="52" r:id="rId2"/>
    <sheet name="Sheet1" sheetId="56" r:id="rId3"/>
    <sheet name="Sheet2" sheetId="57" r:id="rId4"/>
    <sheet name="Sheet3" sheetId="58" r:id="rId5"/>
    <sheet name="Sheet8" sheetId="5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56" l="1"/>
  <c r="I33" i="56"/>
  <c r="I32" i="56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11" i="56"/>
  <c r="I10" i="56"/>
  <c r="I9" i="56"/>
  <c r="I8" i="56"/>
  <c r="I7" i="56"/>
  <c r="I6" i="56"/>
  <c r="I5" i="56"/>
  <c r="I4" i="56"/>
  <c r="I3" i="56"/>
  <c r="F6" i="56"/>
  <c r="F5" i="56"/>
  <c r="F4" i="56"/>
  <c r="F3" i="56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C35" i="56"/>
  <c r="C36" i="56"/>
  <c r="C37" i="56"/>
  <c r="C38" i="56"/>
  <c r="C39" i="56"/>
  <c r="C40" i="56"/>
  <c r="C41" i="56"/>
  <c r="C2" i="56"/>
  <c r="I34" i="52"/>
  <c r="I33" i="52"/>
  <c r="I32" i="52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3" i="52"/>
  <c r="I12" i="52"/>
  <c r="I11" i="52"/>
  <c r="I10" i="52"/>
  <c r="I9" i="52"/>
  <c r="I8" i="52"/>
  <c r="I7" i="52"/>
  <c r="I6" i="52"/>
  <c r="I5" i="52"/>
  <c r="I4" i="52"/>
  <c r="I3" i="52"/>
  <c r="F7" i="52"/>
  <c r="F6" i="52"/>
  <c r="F5" i="52"/>
  <c r="F4" i="52"/>
  <c r="F3" i="52"/>
  <c r="C3" i="52"/>
  <c r="C4" i="52"/>
  <c r="C5" i="52"/>
  <c r="C6" i="52"/>
  <c r="C7" i="52"/>
  <c r="C8" i="52"/>
  <c r="C9" i="52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C35" i="52"/>
  <c r="C36" i="52"/>
  <c r="C37" i="52"/>
  <c r="C38" i="52"/>
  <c r="C39" i="52"/>
  <c r="C40" i="52"/>
  <c r="C41" i="52"/>
  <c r="C2" i="52"/>
  <c r="F20" i="47"/>
  <c r="F19" i="47"/>
  <c r="F18" i="47"/>
  <c r="F17" i="47"/>
  <c r="F16" i="47"/>
  <c r="F15" i="47"/>
  <c r="F14" i="47"/>
  <c r="F13" i="47"/>
  <c r="F12" i="47"/>
  <c r="F11" i="47"/>
  <c r="F10" i="47"/>
  <c r="F9" i="47"/>
  <c r="F8" i="47"/>
  <c r="F7" i="47"/>
  <c r="F6" i="47"/>
  <c r="F5" i="47"/>
  <c r="F4" i="47"/>
  <c r="F3" i="47"/>
  <c r="C3" i="47"/>
  <c r="C4" i="47"/>
  <c r="C5" i="47"/>
  <c r="C6" i="47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48" i="47"/>
  <c r="C49" i="47"/>
  <c r="C50" i="47"/>
  <c r="C51" i="47"/>
  <c r="C52" i="47"/>
  <c r="C53" i="47"/>
  <c r="C54" i="47"/>
  <c r="C55" i="47"/>
  <c r="C56" i="47"/>
  <c r="C57" i="47"/>
  <c r="C2" i="47"/>
</calcChain>
</file>

<file path=xl/sharedStrings.xml><?xml version="1.0" encoding="utf-8"?>
<sst xmlns="http://schemas.openxmlformats.org/spreadsheetml/2006/main" count="76" uniqueCount="32">
  <si>
    <t>Pwf</t>
  </si>
  <si>
    <t>Time, hrs</t>
  </si>
  <si>
    <t>Log (t)</t>
  </si>
  <si>
    <t>MIDDLE TIME DATA</t>
  </si>
  <si>
    <t>LATE TIME DATA</t>
  </si>
  <si>
    <t>Time</t>
  </si>
  <si>
    <t>RESERVOIR &amp; FLUID PROPERTIES</t>
  </si>
  <si>
    <t>Flow rate, q(stb)</t>
  </si>
  <si>
    <t>Volume Factor, Bo(bbl/stb)</t>
  </si>
  <si>
    <t>Viscosity, u(cp)</t>
  </si>
  <si>
    <t>Thickness, h(ft)</t>
  </si>
  <si>
    <t>Porosity</t>
  </si>
  <si>
    <t>Compressibillity, Ct</t>
  </si>
  <si>
    <t>Reservoir Radius, rw</t>
  </si>
  <si>
    <t>Initial Pressure, Pi</t>
  </si>
  <si>
    <t>CALCULATED PARAMETERS</t>
  </si>
  <si>
    <t>MT slope, m</t>
  </si>
  <si>
    <t>LT slope, m_bar</t>
  </si>
  <si>
    <t>Permeability, k(md)</t>
  </si>
  <si>
    <t>P1hr</t>
  </si>
  <si>
    <t>Skin, s</t>
  </si>
  <si>
    <t>▲Pskin</t>
  </si>
  <si>
    <t>Pint</t>
  </si>
  <si>
    <t>Drainage Area, A(ACRES)</t>
  </si>
  <si>
    <t>Shape Factor, Ca</t>
  </si>
  <si>
    <t>▲t</t>
  </si>
  <si>
    <t>Pws</t>
  </si>
  <si>
    <t>(tp+▲t)/▲t</t>
  </si>
  <si>
    <t>Log((tp+▲t)/▲t)</t>
  </si>
  <si>
    <t>Pws at ▲t=0</t>
  </si>
  <si>
    <t>False Pressure, P*</t>
  </si>
  <si>
    <t>t,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</si>
</sst>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indexed="3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6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16">
    <xf numFmtId="0" fontId="0" fillId="0" borderId="0" xfId="0"/>
    <xf numFmtId="0" fontId="3" fillId="4" borderId="0" xfId="3" applyAlignment="1" applyProtection="1">
      <alignment horizontal="center" vertical="center"/>
    </xf>
    <xf numFmtId="0" fontId="1" fillId="2" borderId="1" xfId="1" applyAlignment="1" applyProtection="1">
      <alignment horizontal="center" vertical="center"/>
      <protection locked="0"/>
    </xf>
    <xf numFmtId="0" fontId="4" fillId="0" borderId="0" xfId="0" applyFont="1"/>
    <xf numFmtId="0" fontId="2" fillId="4" borderId="0" xfId="3" applyFont="1" applyAlignment="1">
      <alignment horizontal="center" vertical="center"/>
    </xf>
    <xf numFmtId="2" fontId="1" fillId="2" borderId="1" xfId="1" applyNumberFormat="1" applyAlignment="1">
      <alignment horizontal="center" vertical="center"/>
    </xf>
    <xf numFmtId="0" fontId="2" fillId="4" borderId="1" xfId="3" applyFont="1" applyBorder="1" applyAlignment="1">
      <alignment horizontal="center" vertical="center"/>
    </xf>
    <xf numFmtId="0" fontId="2" fillId="5" borderId="0" xfId="4" applyFont="1" applyAlignment="1">
      <alignment horizontal="center" vertical="center"/>
    </xf>
    <xf numFmtId="2" fontId="1" fillId="2" borderId="1" xfId="1" applyNumberFormat="1" applyAlignment="1" applyProtection="1">
      <alignment horizontal="center" vertical="center"/>
      <protection locked="0"/>
    </xf>
    <xf numFmtId="0" fontId="2" fillId="4" borderId="1" xfId="3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  <protection locked="0"/>
    </xf>
    <xf numFmtId="165" fontId="1" fillId="2" borderId="1" xfId="1" applyNumberFormat="1" applyAlignment="1" applyProtection="1">
      <alignment horizontal="center" vertical="center"/>
      <protection locked="0"/>
    </xf>
    <xf numFmtId="0" fontId="2" fillId="3" borderId="2" xfId="2" applyAlignment="1">
      <alignment horizontal="center" vertical="center"/>
    </xf>
    <xf numFmtId="0" fontId="2" fillId="3" borderId="2" xfId="2" applyAlignment="1">
      <alignment horizontal="center"/>
    </xf>
    <xf numFmtId="0" fontId="5" fillId="4" borderId="0" xfId="3" applyFont="1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Accent1" xfId="3" builtinId="29"/>
    <cellStyle name="Accent3" xfId="4" builtinId="37"/>
    <cellStyle name="Check Cell" xfId="2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Pwf vs Log(t)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Sheet9!$C$3:$C$57</c:f>
              <c:numCache>
                <c:formatCode>General</c:formatCode>
                <c:ptCount val="55"/>
                <c:pt idx="0">
                  <c:v>-1</c:v>
                </c:pt>
                <c:pt idx="1">
                  <c:v>-0.69897000433601875</c:v>
                </c:pt>
                <c:pt idx="2">
                  <c:v>-0.52287874528033762</c:v>
                </c:pt>
                <c:pt idx="3">
                  <c:v>-0.3979400086720376</c:v>
                </c:pt>
                <c:pt idx="4">
                  <c:v>-0.3010299956639812</c:v>
                </c:pt>
                <c:pt idx="5">
                  <c:v>-0.22184874961635639</c:v>
                </c:pt>
                <c:pt idx="6">
                  <c:v>-0.15490195998574319</c:v>
                </c:pt>
                <c:pt idx="7">
                  <c:v>-9.6910013008056392E-2</c:v>
                </c:pt>
                <c:pt idx="8">
                  <c:v>-4.5757490560675115E-2</c:v>
                </c:pt>
                <c:pt idx="9">
                  <c:v>0</c:v>
                </c:pt>
                <c:pt idx="10">
                  <c:v>0.3010299956639812</c:v>
                </c:pt>
                <c:pt idx="11">
                  <c:v>0.47712125471966244</c:v>
                </c:pt>
                <c:pt idx="12">
                  <c:v>0.6020599913279624</c:v>
                </c:pt>
                <c:pt idx="13">
                  <c:v>0.69897000433601886</c:v>
                </c:pt>
                <c:pt idx="14">
                  <c:v>0.77815125038364363</c:v>
                </c:pt>
                <c:pt idx="15">
                  <c:v>0.84509804001425681</c:v>
                </c:pt>
                <c:pt idx="16">
                  <c:v>0.90308998699194354</c:v>
                </c:pt>
                <c:pt idx="17">
                  <c:v>0.95424250943932487</c:v>
                </c:pt>
                <c:pt idx="18">
                  <c:v>1</c:v>
                </c:pt>
                <c:pt idx="19">
                  <c:v>1.0413926851582251</c:v>
                </c:pt>
                <c:pt idx="20">
                  <c:v>1.0791812460476249</c:v>
                </c:pt>
                <c:pt idx="21">
                  <c:v>1.1139433523068367</c:v>
                </c:pt>
                <c:pt idx="22">
                  <c:v>1.146128035678238</c:v>
                </c:pt>
                <c:pt idx="23">
                  <c:v>1.1760912590556813</c:v>
                </c:pt>
                <c:pt idx="24">
                  <c:v>1.2041199826559248</c:v>
                </c:pt>
                <c:pt idx="25">
                  <c:v>1.2304489213782739</c:v>
                </c:pt>
                <c:pt idx="26">
                  <c:v>1.255272505103306</c:v>
                </c:pt>
                <c:pt idx="27">
                  <c:v>1.2787536009528289</c:v>
                </c:pt>
                <c:pt idx="28">
                  <c:v>1.3010299956639813</c:v>
                </c:pt>
                <c:pt idx="29">
                  <c:v>1.3222192947339193</c:v>
                </c:pt>
                <c:pt idx="30">
                  <c:v>1.3424226808222062</c:v>
                </c:pt>
                <c:pt idx="31">
                  <c:v>1.3617278360175928</c:v>
                </c:pt>
                <c:pt idx="32">
                  <c:v>1.3802112417116059</c:v>
                </c:pt>
                <c:pt idx="33">
                  <c:v>1.3979400086720377</c:v>
                </c:pt>
                <c:pt idx="34">
                  <c:v>1.414973347970818</c:v>
                </c:pt>
                <c:pt idx="35">
                  <c:v>1.4313637641589874</c:v>
                </c:pt>
                <c:pt idx="36">
                  <c:v>1.4471580313422192</c:v>
                </c:pt>
                <c:pt idx="37">
                  <c:v>1.4623979978989561</c:v>
                </c:pt>
                <c:pt idx="38">
                  <c:v>1.4771212547196624</c:v>
                </c:pt>
                <c:pt idx="39">
                  <c:v>1.4913616938342726</c:v>
                </c:pt>
                <c:pt idx="40">
                  <c:v>1.505149978319906</c:v>
                </c:pt>
                <c:pt idx="41">
                  <c:v>1.5185139398778875</c:v>
                </c:pt>
                <c:pt idx="42">
                  <c:v>1.5314789170422551</c:v>
                </c:pt>
                <c:pt idx="43">
                  <c:v>1.5440680443502757</c:v>
                </c:pt>
                <c:pt idx="44">
                  <c:v>1.5563025007672873</c:v>
                </c:pt>
                <c:pt idx="45">
                  <c:v>1.568201724066995</c:v>
                </c:pt>
                <c:pt idx="46">
                  <c:v>1.5797835966168101</c:v>
                </c:pt>
                <c:pt idx="47">
                  <c:v>1.5910646070264991</c:v>
                </c:pt>
                <c:pt idx="48">
                  <c:v>1.6020599913279623</c:v>
                </c:pt>
                <c:pt idx="49">
                  <c:v>1.6127838567197355</c:v>
                </c:pt>
                <c:pt idx="50">
                  <c:v>1.6232492903979006</c:v>
                </c:pt>
                <c:pt idx="51">
                  <c:v>1.6334684555795864</c:v>
                </c:pt>
                <c:pt idx="52">
                  <c:v>1.6434526764861874</c:v>
                </c:pt>
                <c:pt idx="53">
                  <c:v>1.6532125137753437</c:v>
                </c:pt>
                <c:pt idx="54">
                  <c:v>1.6627578316815741</c:v>
                </c:pt>
              </c:numCache>
            </c:numRef>
          </c:xVal>
          <c:yVal>
            <c:numRef>
              <c:f>Sheet9!$A$3:$A$57</c:f>
              <c:numCache>
                <c:formatCode>General</c:formatCode>
                <c:ptCount val="55"/>
                <c:pt idx="0">
                  <c:v>2388.3000000000002</c:v>
                </c:pt>
                <c:pt idx="1">
                  <c:v>2381.5</c:v>
                </c:pt>
                <c:pt idx="2">
                  <c:v>2377.5</c:v>
                </c:pt>
                <c:pt idx="3">
                  <c:v>2374.6999999999998</c:v>
                </c:pt>
                <c:pt idx="4">
                  <c:v>2372.5</c:v>
                </c:pt>
                <c:pt idx="5">
                  <c:v>2370.6999999999998</c:v>
                </c:pt>
                <c:pt idx="6">
                  <c:v>2369.1999999999998</c:v>
                </c:pt>
                <c:pt idx="7">
                  <c:v>2367.9</c:v>
                </c:pt>
                <c:pt idx="8">
                  <c:v>2366.6999999999998</c:v>
                </c:pt>
                <c:pt idx="9">
                  <c:v>2365.6999999999998</c:v>
                </c:pt>
                <c:pt idx="10">
                  <c:v>2358.9</c:v>
                </c:pt>
                <c:pt idx="11">
                  <c:v>2354.9</c:v>
                </c:pt>
                <c:pt idx="12">
                  <c:v>2352.1</c:v>
                </c:pt>
                <c:pt idx="13">
                  <c:v>2349.9</c:v>
                </c:pt>
                <c:pt idx="14">
                  <c:v>2348.1</c:v>
                </c:pt>
                <c:pt idx="15">
                  <c:v>2346.6</c:v>
                </c:pt>
                <c:pt idx="16">
                  <c:v>2345.3000000000002</c:v>
                </c:pt>
                <c:pt idx="17">
                  <c:v>2344.1</c:v>
                </c:pt>
                <c:pt idx="18">
                  <c:v>2343.1</c:v>
                </c:pt>
                <c:pt idx="19">
                  <c:v>2338.6999999999998</c:v>
                </c:pt>
                <c:pt idx="20">
                  <c:v>2337</c:v>
                </c:pt>
                <c:pt idx="21">
                  <c:v>2335.3000000000002</c:v>
                </c:pt>
                <c:pt idx="22">
                  <c:v>2333.6</c:v>
                </c:pt>
                <c:pt idx="23">
                  <c:v>2331.8000000000002</c:v>
                </c:pt>
                <c:pt idx="24">
                  <c:v>2330.1</c:v>
                </c:pt>
                <c:pt idx="25">
                  <c:v>2328.4</c:v>
                </c:pt>
                <c:pt idx="26">
                  <c:v>2326.6999999999998</c:v>
                </c:pt>
                <c:pt idx="27">
                  <c:v>2324.9</c:v>
                </c:pt>
                <c:pt idx="28">
                  <c:v>2323.1999999999998</c:v>
                </c:pt>
                <c:pt idx="29">
                  <c:v>2321.5</c:v>
                </c:pt>
                <c:pt idx="30">
                  <c:v>2319.8000000000002</c:v>
                </c:pt>
                <c:pt idx="31">
                  <c:v>2318</c:v>
                </c:pt>
                <c:pt idx="32">
                  <c:v>2316.3000000000002</c:v>
                </c:pt>
                <c:pt idx="33">
                  <c:v>2314.6</c:v>
                </c:pt>
                <c:pt idx="34">
                  <c:v>2312.9</c:v>
                </c:pt>
                <c:pt idx="35">
                  <c:v>2311.1</c:v>
                </c:pt>
                <c:pt idx="36">
                  <c:v>2309.4</c:v>
                </c:pt>
                <c:pt idx="37">
                  <c:v>2307.6999999999998</c:v>
                </c:pt>
                <c:pt idx="38">
                  <c:v>2306</c:v>
                </c:pt>
                <c:pt idx="39">
                  <c:v>2304.1999999999998</c:v>
                </c:pt>
                <c:pt idx="40">
                  <c:v>2302.5</c:v>
                </c:pt>
                <c:pt idx="41">
                  <c:v>2300.8000000000002</c:v>
                </c:pt>
                <c:pt idx="42">
                  <c:v>2299.1</c:v>
                </c:pt>
                <c:pt idx="43">
                  <c:v>2297.4</c:v>
                </c:pt>
                <c:pt idx="44">
                  <c:v>2295.6</c:v>
                </c:pt>
                <c:pt idx="45">
                  <c:v>2293.9</c:v>
                </c:pt>
                <c:pt idx="46">
                  <c:v>2292.1999999999998</c:v>
                </c:pt>
                <c:pt idx="47">
                  <c:v>2290.5</c:v>
                </c:pt>
                <c:pt idx="48">
                  <c:v>2288.6999999999998</c:v>
                </c:pt>
                <c:pt idx="49">
                  <c:v>2287</c:v>
                </c:pt>
                <c:pt idx="50">
                  <c:v>2285.3000000000002</c:v>
                </c:pt>
                <c:pt idx="51">
                  <c:v>2283.6</c:v>
                </c:pt>
                <c:pt idx="52">
                  <c:v>2281.8000000000002</c:v>
                </c:pt>
                <c:pt idx="53">
                  <c:v>2280.1</c:v>
                </c:pt>
                <c:pt idx="54">
                  <c:v>2278.4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D6-45A9-ACA1-3C9FCA62C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686128"/>
        <c:axId val="1178682288"/>
      </c:scatterChart>
      <c:valAx>
        <c:axId val="1178686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8682288"/>
        <c:crosses val="autoZero"/>
        <c:crossBetween val="midCat"/>
      </c:valAx>
      <c:valAx>
        <c:axId val="1178682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78686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Sheet9!$F$3:$F$20</c:f>
              <c:numCache>
                <c:formatCode>0.00</c:formatCode>
                <c:ptCount val="18"/>
                <c:pt idx="0">
                  <c:v>-1</c:v>
                </c:pt>
                <c:pt idx="1">
                  <c:v>-0.69897000433601875</c:v>
                </c:pt>
                <c:pt idx="2">
                  <c:v>-0.52287874528033762</c:v>
                </c:pt>
                <c:pt idx="3">
                  <c:v>-0.3979400086720376</c:v>
                </c:pt>
                <c:pt idx="4">
                  <c:v>-0.3010299956639812</c:v>
                </c:pt>
                <c:pt idx="5">
                  <c:v>-0.22184874961635639</c:v>
                </c:pt>
                <c:pt idx="6">
                  <c:v>-0.15490195998574319</c:v>
                </c:pt>
                <c:pt idx="7">
                  <c:v>-9.6910013008056392E-2</c:v>
                </c:pt>
                <c:pt idx="8">
                  <c:v>-4.5757490560675115E-2</c:v>
                </c:pt>
                <c:pt idx="9">
                  <c:v>0</c:v>
                </c:pt>
                <c:pt idx="10">
                  <c:v>0.3010299956639812</c:v>
                </c:pt>
                <c:pt idx="11">
                  <c:v>0.47712125471966244</c:v>
                </c:pt>
                <c:pt idx="12">
                  <c:v>0.6020599913279624</c:v>
                </c:pt>
                <c:pt idx="13">
                  <c:v>0.69897000433601886</c:v>
                </c:pt>
                <c:pt idx="14">
                  <c:v>0.77815125038364363</c:v>
                </c:pt>
                <c:pt idx="15">
                  <c:v>0.84509804001425681</c:v>
                </c:pt>
                <c:pt idx="16">
                  <c:v>0.90308998699194354</c:v>
                </c:pt>
                <c:pt idx="17">
                  <c:v>0.95424250943932487</c:v>
                </c:pt>
              </c:numCache>
            </c:numRef>
          </c:xVal>
          <c:yVal>
            <c:numRef>
              <c:f>Sheet9!$E$3:$E$20</c:f>
              <c:numCache>
                <c:formatCode>0.00</c:formatCode>
                <c:ptCount val="18"/>
                <c:pt idx="0">
                  <c:v>2388.3000000000002</c:v>
                </c:pt>
                <c:pt idx="1">
                  <c:v>2381.5</c:v>
                </c:pt>
                <c:pt idx="2">
                  <c:v>2377.5</c:v>
                </c:pt>
                <c:pt idx="3">
                  <c:v>2374.6999999999998</c:v>
                </c:pt>
                <c:pt idx="4">
                  <c:v>2372.5</c:v>
                </c:pt>
                <c:pt idx="5">
                  <c:v>2370.6999999999998</c:v>
                </c:pt>
                <c:pt idx="6">
                  <c:v>2369.1999999999998</c:v>
                </c:pt>
                <c:pt idx="7">
                  <c:v>2367.9</c:v>
                </c:pt>
                <c:pt idx="8">
                  <c:v>2366.6999999999998</c:v>
                </c:pt>
                <c:pt idx="9">
                  <c:v>2365.6999999999998</c:v>
                </c:pt>
                <c:pt idx="10">
                  <c:v>2358.9</c:v>
                </c:pt>
                <c:pt idx="11">
                  <c:v>2354.9</c:v>
                </c:pt>
                <c:pt idx="12">
                  <c:v>2352.1</c:v>
                </c:pt>
                <c:pt idx="13">
                  <c:v>2349.9</c:v>
                </c:pt>
                <c:pt idx="14">
                  <c:v>2348.1</c:v>
                </c:pt>
                <c:pt idx="15">
                  <c:v>2346.6</c:v>
                </c:pt>
                <c:pt idx="16">
                  <c:v>2345.3000000000002</c:v>
                </c:pt>
                <c:pt idx="17">
                  <c:v>2344.1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E1-405D-B7FC-C74FBC0F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682768"/>
        <c:axId val="1178679408"/>
      </c:scatterChart>
      <c:valAx>
        <c:axId val="1178682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78679408"/>
        <c:crosses val="autoZero"/>
        <c:crossBetween val="midCat"/>
      </c:valAx>
      <c:valAx>
        <c:axId val="11786794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1786827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Pwf vs Log(t)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Sheet5!$C$3:$C$41</c:f>
              <c:numCache>
                <c:formatCode>General</c:formatCode>
                <c:ptCount val="39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  <c:pt idx="32">
                  <c:v>1.2527679916731174</c:v>
                </c:pt>
                <c:pt idx="33">
                  <c:v>1.2317168004019261</c:v>
                </c:pt>
                <c:pt idx="34">
                  <c:v>1.2112720087169395</c:v>
                </c:pt>
                <c:pt idx="35">
                  <c:v>1.191403278159934</c:v>
                </c:pt>
                <c:pt idx="36">
                  <c:v>1.1720644934747499</c:v>
                </c:pt>
                <c:pt idx="37">
                  <c:v>1.1532323838245737</c:v>
                </c:pt>
                <c:pt idx="38">
                  <c:v>1.1435352250999584</c:v>
                </c:pt>
              </c:numCache>
            </c:numRef>
          </c:xVal>
          <c:yVal>
            <c:numRef>
              <c:f>Sheet5!$A$3:$A$41</c:f>
              <c:numCache>
                <c:formatCode>General</c:formatCode>
                <c:ptCount val="39"/>
                <c:pt idx="0">
                  <c:v>3129.2</c:v>
                </c:pt>
                <c:pt idx="1">
                  <c:v>3357.5</c:v>
                </c:pt>
                <c:pt idx="2">
                  <c:v>3688</c:v>
                </c:pt>
                <c:pt idx="3">
                  <c:v>3967</c:v>
                </c:pt>
                <c:pt idx="4">
                  <c:v>4403.8999999999996</c:v>
                </c:pt>
                <c:pt idx="5">
                  <c:v>4712.3</c:v>
                </c:pt>
                <c:pt idx="6">
                  <c:v>5039.8</c:v>
                </c:pt>
                <c:pt idx="7">
                  <c:v>5244.3</c:v>
                </c:pt>
                <c:pt idx="8">
                  <c:v>5431.2</c:v>
                </c:pt>
                <c:pt idx="9">
                  <c:v>5616.9</c:v>
                </c:pt>
                <c:pt idx="10">
                  <c:v>5687</c:v>
                </c:pt>
                <c:pt idx="11">
                  <c:v>5723.2</c:v>
                </c:pt>
                <c:pt idx="12">
                  <c:v>5745.8</c:v>
                </c:pt>
                <c:pt idx="13">
                  <c:v>5761.8</c:v>
                </c:pt>
                <c:pt idx="14">
                  <c:v>5775</c:v>
                </c:pt>
                <c:pt idx="15">
                  <c:v>5784.9</c:v>
                </c:pt>
                <c:pt idx="16">
                  <c:v>5792.3</c:v>
                </c:pt>
                <c:pt idx="17">
                  <c:v>5799.9</c:v>
                </c:pt>
                <c:pt idx="18">
                  <c:v>5804.8</c:v>
                </c:pt>
                <c:pt idx="19">
                  <c:v>5809.4</c:v>
                </c:pt>
                <c:pt idx="20">
                  <c:v>5813.4</c:v>
                </c:pt>
                <c:pt idx="21">
                  <c:v>5815.8</c:v>
                </c:pt>
                <c:pt idx="22">
                  <c:v>5818</c:v>
                </c:pt>
                <c:pt idx="23">
                  <c:v>5820</c:v>
                </c:pt>
                <c:pt idx="24">
                  <c:v>5821.7</c:v>
                </c:pt>
                <c:pt idx="25">
                  <c:v>5823.3</c:v>
                </c:pt>
                <c:pt idx="26">
                  <c:v>5824.6</c:v>
                </c:pt>
                <c:pt idx="27">
                  <c:v>5826.2</c:v>
                </c:pt>
                <c:pt idx="28">
                  <c:v>5827.5</c:v>
                </c:pt>
                <c:pt idx="29">
                  <c:v>5828.7</c:v>
                </c:pt>
                <c:pt idx="30">
                  <c:v>5830.1</c:v>
                </c:pt>
                <c:pt idx="31">
                  <c:v>5831</c:v>
                </c:pt>
                <c:pt idx="32">
                  <c:v>5832</c:v>
                </c:pt>
                <c:pt idx="33">
                  <c:v>5832.9</c:v>
                </c:pt>
                <c:pt idx="34">
                  <c:v>5834</c:v>
                </c:pt>
                <c:pt idx="35">
                  <c:v>5834.9</c:v>
                </c:pt>
                <c:pt idx="36">
                  <c:v>5835.8</c:v>
                </c:pt>
                <c:pt idx="37">
                  <c:v>5836.7</c:v>
                </c:pt>
                <c:pt idx="38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3-46FC-9916-5C9D6F3CB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393456"/>
        <c:axId val="660395856"/>
      </c:scatterChart>
      <c:valAx>
        <c:axId val="66039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0395856"/>
        <c:crosses val="autoZero"/>
        <c:crossBetween val="midCat"/>
      </c:valAx>
      <c:valAx>
        <c:axId val="660395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03934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Pwf vs Log(t)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Sheet1!$C$3:$C$41</c:f>
              <c:numCache>
                <c:formatCode>General</c:formatCode>
                <c:ptCount val="39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  <c:pt idx="32">
                  <c:v>1.2527679916731174</c:v>
                </c:pt>
                <c:pt idx="33">
                  <c:v>1.2317168004019261</c:v>
                </c:pt>
                <c:pt idx="34">
                  <c:v>1.2112720087169395</c:v>
                </c:pt>
                <c:pt idx="35">
                  <c:v>1.191403278159934</c:v>
                </c:pt>
                <c:pt idx="36">
                  <c:v>1.1720644934747499</c:v>
                </c:pt>
                <c:pt idx="37">
                  <c:v>1.1532323838245737</c:v>
                </c:pt>
                <c:pt idx="38">
                  <c:v>1.1435352250999584</c:v>
                </c:pt>
              </c:numCache>
            </c:numRef>
          </c:xVal>
          <c:yVal>
            <c:numRef>
              <c:f>Sheet1!$A$3:$A$41</c:f>
              <c:numCache>
                <c:formatCode>General</c:formatCode>
                <c:ptCount val="39"/>
                <c:pt idx="0">
                  <c:v>3129.2</c:v>
                </c:pt>
                <c:pt idx="1">
                  <c:v>3357.5</c:v>
                </c:pt>
                <c:pt idx="2">
                  <c:v>3688</c:v>
                </c:pt>
                <c:pt idx="3">
                  <c:v>3967</c:v>
                </c:pt>
                <c:pt idx="4">
                  <c:v>4403.8999999999996</c:v>
                </c:pt>
                <c:pt idx="5">
                  <c:v>4712.3</c:v>
                </c:pt>
                <c:pt idx="6">
                  <c:v>5039.8</c:v>
                </c:pt>
                <c:pt idx="7">
                  <c:v>5244.3</c:v>
                </c:pt>
                <c:pt idx="8">
                  <c:v>5431.2</c:v>
                </c:pt>
                <c:pt idx="9">
                  <c:v>5616.9</c:v>
                </c:pt>
                <c:pt idx="10">
                  <c:v>5687</c:v>
                </c:pt>
                <c:pt idx="11">
                  <c:v>5723.2</c:v>
                </c:pt>
                <c:pt idx="12">
                  <c:v>5745.8</c:v>
                </c:pt>
                <c:pt idx="13">
                  <c:v>5761.8</c:v>
                </c:pt>
                <c:pt idx="14">
                  <c:v>5775</c:v>
                </c:pt>
                <c:pt idx="15">
                  <c:v>5784.9</c:v>
                </c:pt>
                <c:pt idx="16">
                  <c:v>5792.3</c:v>
                </c:pt>
                <c:pt idx="17">
                  <c:v>5799.9</c:v>
                </c:pt>
                <c:pt idx="18">
                  <c:v>5804.8</c:v>
                </c:pt>
                <c:pt idx="19">
                  <c:v>5809.4</c:v>
                </c:pt>
                <c:pt idx="20">
                  <c:v>5813.4</c:v>
                </c:pt>
                <c:pt idx="21">
                  <c:v>5815.8</c:v>
                </c:pt>
                <c:pt idx="22">
                  <c:v>5818</c:v>
                </c:pt>
                <c:pt idx="23">
                  <c:v>5820</c:v>
                </c:pt>
                <c:pt idx="24">
                  <c:v>5821.7</c:v>
                </c:pt>
                <c:pt idx="25">
                  <c:v>5823.3</c:v>
                </c:pt>
                <c:pt idx="26">
                  <c:v>5824.6</c:v>
                </c:pt>
                <c:pt idx="27">
                  <c:v>5826.2</c:v>
                </c:pt>
                <c:pt idx="28">
                  <c:v>5827.5</c:v>
                </c:pt>
                <c:pt idx="29">
                  <c:v>5828.7</c:v>
                </c:pt>
                <c:pt idx="30">
                  <c:v>5830.1</c:v>
                </c:pt>
                <c:pt idx="31">
                  <c:v>5831</c:v>
                </c:pt>
                <c:pt idx="32">
                  <c:v>5832</c:v>
                </c:pt>
                <c:pt idx="33">
                  <c:v>5832.9</c:v>
                </c:pt>
                <c:pt idx="34">
                  <c:v>5834</c:v>
                </c:pt>
                <c:pt idx="35">
                  <c:v>5834.9</c:v>
                </c:pt>
                <c:pt idx="36">
                  <c:v>5835.8</c:v>
                </c:pt>
                <c:pt idx="37">
                  <c:v>5836.7</c:v>
                </c:pt>
                <c:pt idx="38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E5-4C72-9989-936CD8DE3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625903"/>
        <c:axId val="1579631183"/>
      </c:scatterChart>
      <c:valAx>
        <c:axId val="15796259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631183"/>
        <c:crosses val="autoZero"/>
        <c:crossBetween val="midCat"/>
      </c:valAx>
      <c:valAx>
        <c:axId val="15796311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96259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1-492A-9540-C944C941B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125871"/>
        <c:axId val="1572124431"/>
      </c:scatterChart>
      <c:valAx>
        <c:axId val="15721258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2124431"/>
        <c:crosses val="autoZero"/>
        <c:crossBetween val="midCat"/>
      </c:valAx>
      <c:valAx>
        <c:axId val="15721244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212587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D2-424B-8EC6-B5B564A59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128751"/>
        <c:axId val="1572125871"/>
      </c:scatterChart>
      <c:valAx>
        <c:axId val="1572128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2125871"/>
        <c:crosses val="autoZero"/>
        <c:crossBetween val="midCat"/>
      </c:valAx>
      <c:valAx>
        <c:axId val="15721258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21287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5-4E3C-A157-C867A46B0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630703"/>
        <c:axId val="1579624463"/>
      </c:scatterChart>
      <c:valAx>
        <c:axId val="1579630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9624463"/>
        <c:crosses val="autoZero"/>
        <c:crossBetween val="midCat"/>
      </c:valAx>
      <c:valAx>
        <c:axId val="15796244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96307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28-4C20-9509-EB1C717ED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281711"/>
        <c:axId val="1571282191"/>
      </c:scatterChart>
      <c:valAx>
        <c:axId val="1571281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1282191"/>
        <c:crosses val="autoZero"/>
        <c:crossBetween val="midCat"/>
      </c:valAx>
      <c:valAx>
        <c:axId val="15712821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12817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8-49C0-A979-DBAF4C3B4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804783"/>
        <c:axId val="1332805263"/>
      </c:scatterChart>
      <c:valAx>
        <c:axId val="1332804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2805263"/>
        <c:crosses val="autoZero"/>
        <c:crossBetween val="midCat"/>
      </c:valAx>
      <c:valAx>
        <c:axId val="13328052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28047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9E-4C86-A60F-B77641E44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626383"/>
        <c:axId val="1572129231"/>
      </c:scatterChart>
      <c:valAx>
        <c:axId val="15796263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2129231"/>
        <c:crosses val="autoZero"/>
        <c:crossBetween val="midCat"/>
      </c:valAx>
      <c:valAx>
        <c:axId val="1572129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796263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7-41F5-8F06-AED41CA9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804303"/>
        <c:axId val="1951423119"/>
      </c:scatterChart>
      <c:valAx>
        <c:axId val="1332804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23119"/>
        <c:crosses val="autoZero"/>
        <c:crossBetween val="midCat"/>
      </c:valAx>
      <c:valAx>
        <c:axId val="19514231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328043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3-434B-A30A-84ECE0502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08239"/>
        <c:axId val="1951415919"/>
      </c:scatterChart>
      <c:valAx>
        <c:axId val="1951408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5919"/>
        <c:crosses val="autoZero"/>
        <c:crossBetween val="midCat"/>
      </c:valAx>
      <c:valAx>
        <c:axId val="19514159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082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2-4579-AE99-255D50D31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08239"/>
        <c:axId val="1951412559"/>
      </c:scatterChart>
      <c:valAx>
        <c:axId val="1951408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2559"/>
        <c:crosses val="autoZero"/>
        <c:crossBetween val="midCat"/>
      </c:valAx>
      <c:valAx>
        <c:axId val="19514125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0823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7D-4CBB-8341-77EE8F84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19759"/>
        <c:axId val="1951412079"/>
      </c:scatterChart>
      <c:valAx>
        <c:axId val="1951419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2079"/>
        <c:crosses val="autoZero"/>
        <c:crossBetween val="midCat"/>
      </c:valAx>
      <c:valAx>
        <c:axId val="19514120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975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EC-41D1-8E28-16E928BB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09679"/>
        <c:axId val="1951411119"/>
      </c:scatterChart>
      <c:valAx>
        <c:axId val="1951409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1119"/>
        <c:crosses val="autoZero"/>
        <c:crossBetween val="midCat"/>
      </c:valAx>
      <c:valAx>
        <c:axId val="19514111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096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CD-4389-A963-AA43FB1B9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18319"/>
        <c:axId val="1951420239"/>
      </c:scatterChart>
      <c:valAx>
        <c:axId val="1951418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20239"/>
        <c:crosses val="autoZero"/>
        <c:crossBetween val="midCat"/>
      </c:valAx>
      <c:valAx>
        <c:axId val="19514202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83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2E-41B6-A3BE-72E620BD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13519"/>
        <c:axId val="1951413999"/>
      </c:scatterChart>
      <c:valAx>
        <c:axId val="1951413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3999"/>
        <c:crosses val="autoZero"/>
        <c:crossBetween val="midCat"/>
      </c:valAx>
      <c:valAx>
        <c:axId val="19514139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35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98-41BF-A66A-5B846849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13519"/>
        <c:axId val="1951419759"/>
      </c:scatterChart>
      <c:valAx>
        <c:axId val="1951413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9759"/>
        <c:crosses val="autoZero"/>
        <c:crossBetween val="midCat"/>
      </c:valAx>
      <c:valAx>
        <c:axId val="195141975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35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Sheet1!$F$3:$F$7</c:f>
              <c:numCache>
                <c:formatCode>0.00</c:formatCode>
                <c:ptCount val="5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Sheet1!$E$3:$E$7</c:f>
              <c:numCache>
                <c:formatCode>0.00</c:formatCode>
                <c:ptCount val="5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4-46F4-96A3-162DF794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10159"/>
        <c:axId val="1951413519"/>
      </c:scatterChart>
      <c:valAx>
        <c:axId val="1951410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3519"/>
        <c:crosses val="autoZero"/>
        <c:crossBetween val="midCat"/>
      </c:valAx>
      <c:valAx>
        <c:axId val="19514135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141015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9C-4190-9546-61563DD85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08591"/>
        <c:axId val="1953109071"/>
      </c:scatterChart>
      <c:valAx>
        <c:axId val="1953108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09071"/>
        <c:crosses val="autoZero"/>
        <c:crossBetween val="midCat"/>
      </c:valAx>
      <c:valAx>
        <c:axId val="1953109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085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4-42CB-B4DF-0B619EE81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0991"/>
        <c:axId val="1953111471"/>
      </c:scatterChart>
      <c:valAx>
        <c:axId val="195311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1471"/>
        <c:crosses val="autoZero"/>
        <c:crossBetween val="midCat"/>
      </c:valAx>
      <c:valAx>
        <c:axId val="19531114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09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26-4333-9E44-C184E4696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3391"/>
        <c:axId val="1953110991"/>
      </c:scatterChart>
      <c:valAx>
        <c:axId val="1953113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0991"/>
        <c:crosses val="autoZero"/>
        <c:crossBetween val="midCat"/>
      </c:valAx>
      <c:valAx>
        <c:axId val="19531109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33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B1-46A0-8A2E-707E6974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2911"/>
        <c:axId val="1953121071"/>
      </c:scatterChart>
      <c:valAx>
        <c:axId val="1953112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21071"/>
        <c:crosses val="autoZero"/>
        <c:crossBetween val="midCat"/>
      </c:valAx>
      <c:valAx>
        <c:axId val="1953121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29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07-4540-AF69-71B82BC04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2911"/>
        <c:axId val="1953113871"/>
      </c:scatterChart>
      <c:valAx>
        <c:axId val="1953112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3871"/>
        <c:crosses val="autoZero"/>
        <c:crossBetween val="midCat"/>
      </c:valAx>
      <c:valAx>
        <c:axId val="19531138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29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77-4F58-BBC6-40EF525C2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8191"/>
        <c:axId val="1953118671"/>
      </c:scatterChart>
      <c:valAx>
        <c:axId val="1953118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8671"/>
        <c:crosses val="autoZero"/>
        <c:crossBetween val="midCat"/>
      </c:valAx>
      <c:valAx>
        <c:axId val="19531186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81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26-4A42-898A-4FB5ACFD6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8191"/>
        <c:axId val="1953122031"/>
      </c:scatterChart>
      <c:valAx>
        <c:axId val="19531181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22031"/>
        <c:crosses val="autoZero"/>
        <c:crossBetween val="midCat"/>
      </c:valAx>
      <c:valAx>
        <c:axId val="19531220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819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1F-48D2-A09B-C7A9DE6AA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116751"/>
        <c:axId val="1953456303"/>
      </c:scatterChart>
      <c:valAx>
        <c:axId val="1953116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56303"/>
        <c:crosses val="autoZero"/>
        <c:crossBetween val="midCat"/>
      </c:valAx>
      <c:valAx>
        <c:axId val="19534563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1167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8-424B-A4C7-589051D9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460143"/>
        <c:axId val="1953462543"/>
      </c:scatterChart>
      <c:valAx>
        <c:axId val="1953460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62543"/>
        <c:crosses val="autoZero"/>
        <c:crossBetween val="midCat"/>
      </c:valAx>
      <c:valAx>
        <c:axId val="19534625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601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F2-44BA-A56F-AD58E0D82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454863"/>
        <c:axId val="1953455343"/>
      </c:scatterChart>
      <c:valAx>
        <c:axId val="19534548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55343"/>
        <c:crosses val="autoZero"/>
        <c:crossBetween val="midCat"/>
      </c:valAx>
      <c:valAx>
        <c:axId val="19534553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5486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CB-4639-9461-CE6C9F68B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461583"/>
        <c:axId val="1953462063"/>
      </c:scatterChart>
      <c:valAx>
        <c:axId val="19534615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62063"/>
        <c:crosses val="autoZero"/>
        <c:crossBetween val="midCat"/>
      </c:valAx>
      <c:valAx>
        <c:axId val="19534620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534615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AB-4509-908A-0B492B53A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168528"/>
        <c:axId val="588166728"/>
      </c:scatterChart>
      <c:valAx>
        <c:axId val="588168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66728"/>
        <c:crosses val="autoZero"/>
        <c:crossBetween val="midCat"/>
      </c:valAx>
      <c:valAx>
        <c:axId val="588166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685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22-43B2-B4A7-856667671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180408"/>
        <c:axId val="588178248"/>
      </c:scatterChart>
      <c:valAx>
        <c:axId val="58818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78248"/>
        <c:crosses val="autoZero"/>
        <c:crossBetween val="midCat"/>
      </c:valAx>
      <c:valAx>
        <c:axId val="588178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804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D2-4D9E-8C76-EFB756650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178608"/>
        <c:axId val="588180408"/>
      </c:scatterChart>
      <c:valAx>
        <c:axId val="58817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80408"/>
        <c:crosses val="autoZero"/>
        <c:crossBetween val="midCat"/>
      </c:valAx>
      <c:valAx>
        <c:axId val="5881804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81786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B8-4356-B679-EC4C2AA6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30016"/>
        <c:axId val="589640816"/>
      </c:scatterChart>
      <c:valAx>
        <c:axId val="589630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40816"/>
        <c:crosses val="autoZero"/>
        <c:crossBetween val="midCat"/>
      </c:valAx>
      <c:valAx>
        <c:axId val="589640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300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6D-447D-8232-B41679D64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38296"/>
        <c:axId val="589639016"/>
      </c:scatterChart>
      <c:valAx>
        <c:axId val="589638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39016"/>
        <c:crosses val="autoZero"/>
        <c:crossBetween val="midCat"/>
      </c:valAx>
      <c:valAx>
        <c:axId val="5896390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38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8D-4F1A-B207-CEE0D8575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44776"/>
        <c:axId val="589644056"/>
      </c:scatterChart>
      <c:valAx>
        <c:axId val="589644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44056"/>
        <c:crosses val="autoZero"/>
        <c:crossBetween val="midCat"/>
      </c:valAx>
      <c:valAx>
        <c:axId val="589644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447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F8-47F3-B36F-3E382FA3C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33256"/>
        <c:axId val="589635416"/>
      </c:scatterChart>
      <c:valAx>
        <c:axId val="589633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35416"/>
        <c:crosses val="autoZero"/>
        <c:crossBetween val="midCat"/>
      </c:valAx>
      <c:valAx>
        <c:axId val="589635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332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2A-4F18-A2DA-A8CFD84D9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42256"/>
        <c:axId val="589644776"/>
      </c:scatterChart>
      <c:valAx>
        <c:axId val="58964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44776"/>
        <c:crosses val="autoZero"/>
        <c:crossBetween val="midCat"/>
      </c:valAx>
      <c:valAx>
        <c:axId val="589644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896422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Transcient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Sheet1!$F$3:$F$6</c:f>
              <c:numCache>
                <c:formatCode>0.00</c:formatCode>
                <c:ptCount val="4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</c:numCache>
            </c:numRef>
          </c:xVal>
          <c:yVal>
            <c:numRef>
              <c:f>Sheet1!$E$3:$E$6</c:f>
              <c:numCache>
                <c:formatCode>0.00</c:formatCode>
                <c:ptCount val="4"/>
                <c:pt idx="0">
                  <c:v>3688</c:v>
                </c:pt>
                <c:pt idx="1">
                  <c:v>3967</c:v>
                </c:pt>
                <c:pt idx="2">
                  <c:v>4403.8999999999996</c:v>
                </c:pt>
                <c:pt idx="3">
                  <c:v>4712.3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D4-4145-883F-8D707475A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48384"/>
        <c:axId val="430649824"/>
      </c:scatterChart>
      <c:valAx>
        <c:axId val="43064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Log(t)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30649824"/>
        <c:crosses val="autoZero"/>
        <c:crossBetween val="midCat"/>
      </c:valAx>
      <c:valAx>
        <c:axId val="430649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306483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Late Time Straight 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Sheet1!$I$3:$I$34</c:f>
              <c:numCache>
                <c:formatCode>0.00</c:formatCode>
                <c:ptCount val="32"/>
                <c:pt idx="0">
                  <c:v>4.1903597162653243</c:v>
                </c:pt>
                <c:pt idx="1">
                  <c:v>3.7924617313469509</c:v>
                </c:pt>
                <c:pt idx="2">
                  <c:v>3.4915017662373264</c:v>
                </c:pt>
                <c:pt idx="3">
                  <c:v>3.3154805264453038</c:v>
                </c:pt>
                <c:pt idx="4">
                  <c:v>3.09377178149873</c:v>
                </c:pt>
                <c:pt idx="5">
                  <c:v>2.9502697070258015</c:v>
                </c:pt>
                <c:pt idx="6">
                  <c:v>2.79309160017658</c:v>
                </c:pt>
                <c:pt idx="7">
                  <c:v>2.6793580013062783</c:v>
                </c:pt>
                <c:pt idx="8">
                  <c:v>2.5481101111055389</c:v>
                </c:pt>
                <c:pt idx="9">
                  <c:v>2.3395386087759551</c:v>
                </c:pt>
                <c:pt idx="10">
                  <c:v>2.196808215687053</c:v>
                </c:pt>
                <c:pt idx="11">
                  <c:v>2.0875355463126137</c:v>
                </c:pt>
                <c:pt idx="12">
                  <c:v>1.998808899165889</c:v>
                </c:pt>
                <c:pt idx="13">
                  <c:v>1.923698290012819</c:v>
                </c:pt>
                <c:pt idx="14">
                  <c:v>1.8584322131050188</c:v>
                </c:pt>
                <c:pt idx="15">
                  <c:v>1.800710460175974</c:v>
                </c:pt>
                <c:pt idx="16">
                  <c:v>1.7488214346279614</c:v>
                </c:pt>
                <c:pt idx="17">
                  <c:v>1.7015024934174245</c:v>
                </c:pt>
                <c:pt idx="18">
                  <c:v>1.6580901883156176</c:v>
                </c:pt>
                <c:pt idx="19">
                  <c:v>1.6178997829468595</c:v>
                </c:pt>
                <c:pt idx="20">
                  <c:v>1.5803582760703501</c:v>
                </c:pt>
                <c:pt idx="21">
                  <c:v>1.545210086015288</c:v>
                </c:pt>
                <c:pt idx="22">
                  <c:v>1.5120660318183681</c:v>
                </c:pt>
                <c:pt idx="23">
                  <c:v>1.4806972712311812</c:v>
                </c:pt>
                <c:pt idx="24">
                  <c:v>1.4508765843573803</c:v>
                </c:pt>
                <c:pt idx="25">
                  <c:v>1.422451288881222</c:v>
                </c:pt>
                <c:pt idx="26">
                  <c:v>1.3952912340100248</c:v>
                </c:pt>
                <c:pt idx="27">
                  <c:v>1.3692845266340175</c:v>
                </c:pt>
                <c:pt idx="28">
                  <c:v>1.3442495818554145</c:v>
                </c:pt>
                <c:pt idx="29">
                  <c:v>1.320169897180907</c:v>
                </c:pt>
                <c:pt idx="30">
                  <c:v>1.296949422769319</c:v>
                </c:pt>
                <c:pt idx="31">
                  <c:v>1.27450579455057</c:v>
                </c:pt>
              </c:numCache>
            </c:numRef>
          </c:xVal>
          <c:yVal>
            <c:numRef>
              <c:f>Sheet1!$H$3:$H$34</c:f>
              <c:numCache>
                <c:formatCode>0.00</c:formatCode>
                <c:ptCount val="32"/>
                <c:pt idx="0">
                  <c:v>5244.3</c:v>
                </c:pt>
                <c:pt idx="1">
                  <c:v>5431.2</c:v>
                </c:pt>
                <c:pt idx="2">
                  <c:v>5616.9</c:v>
                </c:pt>
                <c:pt idx="3">
                  <c:v>5687</c:v>
                </c:pt>
                <c:pt idx="4">
                  <c:v>5723.2</c:v>
                </c:pt>
                <c:pt idx="5">
                  <c:v>5745.8</c:v>
                </c:pt>
                <c:pt idx="6">
                  <c:v>5761.8</c:v>
                </c:pt>
                <c:pt idx="7">
                  <c:v>5775</c:v>
                </c:pt>
                <c:pt idx="8">
                  <c:v>5784.9</c:v>
                </c:pt>
                <c:pt idx="9">
                  <c:v>5792.3</c:v>
                </c:pt>
                <c:pt idx="10">
                  <c:v>5799.9</c:v>
                </c:pt>
                <c:pt idx="11">
                  <c:v>5804.8</c:v>
                </c:pt>
                <c:pt idx="12">
                  <c:v>5809.4</c:v>
                </c:pt>
                <c:pt idx="13">
                  <c:v>5813.4</c:v>
                </c:pt>
                <c:pt idx="14">
                  <c:v>5815.8</c:v>
                </c:pt>
                <c:pt idx="15">
                  <c:v>5818</c:v>
                </c:pt>
                <c:pt idx="16">
                  <c:v>5820</c:v>
                </c:pt>
                <c:pt idx="17">
                  <c:v>5821.7</c:v>
                </c:pt>
                <c:pt idx="18">
                  <c:v>5823.3</c:v>
                </c:pt>
                <c:pt idx="19">
                  <c:v>5824.6</c:v>
                </c:pt>
                <c:pt idx="20">
                  <c:v>5826.2</c:v>
                </c:pt>
                <c:pt idx="21">
                  <c:v>5827.5</c:v>
                </c:pt>
                <c:pt idx="22">
                  <c:v>5828.7</c:v>
                </c:pt>
                <c:pt idx="23">
                  <c:v>5830.1</c:v>
                </c:pt>
                <c:pt idx="24">
                  <c:v>5831</c:v>
                </c:pt>
                <c:pt idx="25">
                  <c:v>5832</c:v>
                </c:pt>
                <c:pt idx="26">
                  <c:v>5832.9</c:v>
                </c:pt>
                <c:pt idx="27">
                  <c:v>5834</c:v>
                </c:pt>
                <c:pt idx="28">
                  <c:v>5834.9</c:v>
                </c:pt>
                <c:pt idx="29">
                  <c:v>5835.8</c:v>
                </c:pt>
                <c:pt idx="30">
                  <c:v>5836.7</c:v>
                </c:pt>
                <c:pt idx="31">
                  <c:v>5837.1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6D-43C9-B934-04A6CC3D5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79416"/>
        <c:axId val="439480496"/>
      </c:scatterChart>
      <c:valAx>
        <c:axId val="439479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39480496"/>
        <c:crosses val="autoZero"/>
        <c:crossBetween val="midCat"/>
      </c:valAx>
      <c:valAx>
        <c:axId val="439480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Pwf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4394794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34" Type="http://schemas.openxmlformats.org/officeDocument/2006/relationships/chart" Target="../charts/chart37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29" Type="http://schemas.openxmlformats.org/officeDocument/2006/relationships/chart" Target="../charts/chart32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31" Type="http://schemas.openxmlformats.org/officeDocument/2006/relationships/chart" Target="../charts/chart34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0</xdr:rowOff>
    </xdr:from>
    <xdr:to>
      <xdr:col>15</xdr:col>
      <xdr:colOff>0</xdr:colOff>
      <xdr:row>21</xdr:row>
      <xdr:rowOff>0</xdr:rowOff>
    </xdr:to>
    <xdr:graphicFrame macro="">
      <xdr:nvGraphicFramePr>
        <xdr:cNvPr id="2" name="Data_grap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15</xdr:col>
      <xdr:colOff>0</xdr:colOff>
      <xdr:row>21</xdr:row>
      <xdr:rowOff>0</xdr:rowOff>
    </xdr:to>
    <xdr:graphicFrame macro="">
      <xdr:nvGraphicFramePr>
        <xdr:cNvPr id="3" name="MT_grap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0.09075</cdr:x>
      <cdr:y>0.27912</cdr:y>
    </cdr:from>
    <cdr:to>
      <cdr:x>0.43707</cdr:x>
      <cdr:y>0.6108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14D4E7-F6E6-AAC5-1C4E-31DE82E9E5DD}"/>
            </a:ext>
          </a:extLst>
        </cdr:cNvPr>
        <cdr:cNvSpPr txBox="1"/>
      </cdr:nvSpPr>
      <cdr:spPr>
        <a:xfrm xmlns:a="http://schemas.openxmlformats.org/drawingml/2006/main">
          <a:off x="332804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-22.6psi/cycle</a:t>
          </a:r>
          <a:endParaRPr lang="LID4096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16</xdr:row>
          <xdr:rowOff>123825</xdr:rowOff>
        </xdr:from>
        <xdr:to>
          <xdr:col>11</xdr:col>
          <xdr:colOff>76200</xdr:colOff>
          <xdr:row>18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Done</a:t>
              </a:r>
            </a:p>
            <a:p>
              <a:pPr algn="ctr" rtl="0">
                <a:defRPr sz="1000"/>
              </a:pPr>
              <a:endParaRPr lang="en-GH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" name="Data_grap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" name="Data_graph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3" name="MT_graph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4" name="LT_graph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5" name="MT_graph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6" name="LT_graph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7" name="MT_graph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8" name="LT_graph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9" name="MT_graph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" name="LT_graph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1" name="MT_graph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2" name="LT_graph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3" name="MT_graph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4" name="LT_graph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5" name="MT_graph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6" name="LT_graph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7" name="MT_graph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8" name="LT_graph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9" name="MT_graph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0" name="LT_graph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1" name="MT_graph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2" name="LT_graph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3" name="MT_graph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4" name="LT_graph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5" name="MT_graph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6" name="LT_graph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7" name="MT_graph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8" name="LT_graph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29" name="MT_graph" hidden="1">
          <a:extLst>
            <a:ext uri="{FF2B5EF4-FFF2-40B4-BE49-F238E27FC236}">
              <a16:creationId xmlns:a16="http://schemas.microsoft.com/office/drawing/2014/main" id="{4075490F-9694-B0C0-9AC3-040434E60C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30" name="LT_graph" hidden="1">
          <a:extLst>
            <a:ext uri="{FF2B5EF4-FFF2-40B4-BE49-F238E27FC236}">
              <a16:creationId xmlns:a16="http://schemas.microsoft.com/office/drawing/2014/main" id="{E589B627-9126-F004-338A-32AC9B260D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31" name="MT_graph" hidden="1">
          <a:extLst>
            <a:ext uri="{FF2B5EF4-FFF2-40B4-BE49-F238E27FC236}">
              <a16:creationId xmlns:a16="http://schemas.microsoft.com/office/drawing/2014/main" id="{42E0FA37-DD3C-D202-FB4A-DEF698764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0" name="LT_graph" hidden="1">
          <a:extLst>
            <a:ext uri="{FF2B5EF4-FFF2-40B4-BE49-F238E27FC236}">
              <a16:creationId xmlns:a16="http://schemas.microsoft.com/office/drawing/2014/main" id="{8A5E0269-1CF1-165C-F308-6C9CB7C3F9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1" name="MT_graph" hidden="1">
          <a:extLst>
            <a:ext uri="{FF2B5EF4-FFF2-40B4-BE49-F238E27FC236}">
              <a16:creationId xmlns:a16="http://schemas.microsoft.com/office/drawing/2014/main" id="{6496B3C3-BAF3-050A-5CC8-0729756C7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2" name="LT_graph" hidden="1">
          <a:extLst>
            <a:ext uri="{FF2B5EF4-FFF2-40B4-BE49-F238E27FC236}">
              <a16:creationId xmlns:a16="http://schemas.microsoft.com/office/drawing/2014/main" id="{78724D09-75DB-F3BA-87B0-6A1CF716D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3" name="MT_graph" hidden="1">
          <a:extLst>
            <a:ext uri="{FF2B5EF4-FFF2-40B4-BE49-F238E27FC236}">
              <a16:creationId xmlns:a16="http://schemas.microsoft.com/office/drawing/2014/main" id="{EA9FBD5B-BB03-DB9B-8F36-AE16836C31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4" name="LT_graph" hidden="1">
          <a:extLst>
            <a:ext uri="{FF2B5EF4-FFF2-40B4-BE49-F238E27FC236}">
              <a16:creationId xmlns:a16="http://schemas.microsoft.com/office/drawing/2014/main" id="{97042375-FFFF-689B-0244-53C44B252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5" name="MT_graph" hidden="1">
          <a:extLst>
            <a:ext uri="{FF2B5EF4-FFF2-40B4-BE49-F238E27FC236}">
              <a16:creationId xmlns:a16="http://schemas.microsoft.com/office/drawing/2014/main" id="{7E76F2B7-B33E-9346-2856-11914CDC39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10246" name="LT_graph" hidden="1">
          <a:extLst>
            <a:ext uri="{FF2B5EF4-FFF2-40B4-BE49-F238E27FC236}">
              <a16:creationId xmlns:a16="http://schemas.microsoft.com/office/drawing/2014/main" id="{6F68F954-DCCA-4BA3-0BAF-F76918F87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9</xdr:row>
          <xdr:rowOff>152400</xdr:rowOff>
        </xdr:from>
        <xdr:to>
          <xdr:col>10</xdr:col>
          <xdr:colOff>1323975</xdr:colOff>
          <xdr:row>11</xdr:row>
          <xdr:rowOff>9525</xdr:rowOff>
        </xdr:to>
        <xdr:sp macro="" textlink="">
          <xdr:nvSpPr>
            <xdr:cNvPr id="10277" name="Button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51652783-F992-0C32-17B6-05436B110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  <a:p>
              <a:pPr algn="ctr" rtl="0">
                <a:defRPr sz="1000"/>
              </a:pPr>
              <a:endParaRPr lang="en-GH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16</xdr:row>
          <xdr:rowOff>85725</xdr:rowOff>
        </xdr:from>
        <xdr:to>
          <xdr:col>10</xdr:col>
          <xdr:colOff>1333500</xdr:colOff>
          <xdr:row>17</xdr:row>
          <xdr:rowOff>152400</xdr:rowOff>
        </xdr:to>
        <xdr:sp macro="" textlink="">
          <xdr:nvSpPr>
            <xdr:cNvPr id="10278" name="Button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1BAA41ED-CE3A-5C3A-0C91-BADA2621E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Graph</a:t>
              </a:r>
            </a:p>
            <a:p>
              <a:pPr algn="ctr" rtl="0">
                <a:defRPr sz="1000"/>
              </a:pPr>
              <a:endParaRPr lang="en-GH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946F57C-60BD-8794-9E42-E151CA301B1E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94626A4-0989-1A43-0B4B-8858B5844B81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0CEBE22-06F9-3BB1-EB65-6DB1AC89EF3D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4288AD1-ECEA-AD0C-BA6F-BCC4B8265020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474F40-48E5-08F1-8FF5-66036DACEF8C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BE1646D-298B-FC2F-7066-C3A286179F00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0E65F07-C2F4-706E-801C-A7502101D9EF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62B934-E987-AA0A-F9F3-5F5FC26DA234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3722DF-8A30-2E6B-C941-0D07929BDE28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10D8C2F-E863-0F7B-DB9B-D3355184C78A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260CBEC-A9D2-B112-AAE3-99C8A25E2E73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1A115EB-85CB-74F2-9BE1-01812B71CED6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0797A42-CF15-8B7C-8AD8-D119BE269597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884D8F7-4E66-C175-FA75-BE1DDFB11F33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9A800E-EBCD-B516-A47B-4C6A3351186D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-1258.79psi/cycle</a:t>
          </a:r>
          <a:endParaRPr lang="LID4096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B0FB24D-5EE8-415E-E094-CA38E3D195BC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2EFF060-A05E-BBA8-7139-F27280CCDE40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LID4096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11132F-2F18-AAF4-A2AC-2393645FDEA8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A57279A-22EE-80A8-6B2D-AF69C003A5EA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LID4096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F4BAA95-04C6-D473-37E2-FDF8F04F4D15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CA6D3EE-CC01-FFE5-3823-6C1D86E0B9D3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LID4096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930051D-59FE-C2B3-A77A-248DD1A8FA78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6C76E1C-1C30-1734-4777-746380A64846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LID4096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04B5C59-C356-8C2C-B8EC-89D420312B16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7B82FAD-10FE-944B-846B-8639976FDB5F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LID4096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105064E-2185-B4A6-512D-D984C2A19A62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LID4096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5709F17-56F7-849F-B0B0-9A83220BB0A6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en-GH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6F8D35F-E734-F94A-B19F-30E2B5681751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en-GH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478586D-6FAF-CAD2-E6DE-907977E79D3F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en-GH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AC9212-42A9-8482-E151-494A1B69743A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en-GH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C44F992-080A-E374-B0C4-2AFAB2A1939F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en-GH" sz="1100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F854261-4564-7698-ECC3-B6415358CD4C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en-GH" sz="1100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87F8774-3798-118D-D22D-A5FF454434FD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en-GH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60A0874-D1B1-F9EB-1F4C-0CAB6F08E8E9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en-GH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8AFC20C-FE15-4A27-B263-A0F39E00567F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-1163.25psi/cycle</a:t>
          </a:r>
          <a:endParaRPr lang="en-GH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0.13916</cdr:x>
      <cdr:y>0.15541</cdr:y>
    </cdr:from>
    <cdr:to>
      <cdr:x>0.33816</cdr:x>
      <cdr:y>0.34008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FAAD83-FF15-2C6F-77E7-4A0CE1BD716A}"/>
            </a:ext>
          </a:extLst>
        </cdr:cNvPr>
        <cdr:cNvSpPr txBox="1"/>
      </cdr:nvSpPr>
      <cdr:spPr>
        <a:xfrm xmlns:a="http://schemas.openxmlformats.org/drawingml/2006/main">
          <a:off x="888059" y="534385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100"/>
            <a:t>Slope(m): -133.64psi/cycle</a:t>
          </a:r>
          <a:endParaRPr lang="en-GH" sz="1100"/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18</xdr:row>
          <xdr:rowOff>0</xdr:rowOff>
        </xdr:from>
        <xdr:to>
          <xdr:col>3</xdr:col>
          <xdr:colOff>561975</xdr:colOff>
          <xdr:row>19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96951808-4E63-94D4-DBA5-0BEF64093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H" sz="12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Next</a:t>
              </a:r>
            </a:p>
            <a:p>
              <a:pPr algn="ctr" rtl="0">
                <a:defRPr sz="1000"/>
              </a:pPr>
              <a:r>
                <a:rPr lang="en-GH" sz="1200" b="1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D83E3-02DF-43F3-A19D-FE0C446C1F18}">
  <sheetPr codeName="Sheet9"/>
  <dimension ref="A1:O101"/>
  <sheetViews>
    <sheetView workbookViewId="0">
      <pane ySplit="1" topLeftCell="A2" activePane="bottomLeft" state="frozenSplit"/>
      <selection activeCell="A2" sqref="A2:B57"/>
      <selection pane="bottomLeft" activeCell="L2" sqref="L2:L9"/>
    </sheetView>
  </sheetViews>
  <sheetFormatPr defaultRowHeight="15" x14ac:dyDescent="0.25"/>
  <cols>
    <col min="8" max="8" width="12" customWidth="1"/>
    <col min="9" max="9" width="12.28515625" customWidth="1"/>
    <col min="11" max="11" width="25.5703125" bestFit="1" customWidth="1"/>
    <col min="12" max="12" width="13.42578125" customWidth="1"/>
    <col min="14" max="14" width="19" bestFit="1" customWidth="1"/>
    <col min="15" max="15" width="13.42578125" customWidth="1"/>
  </cols>
  <sheetData>
    <row r="1" spans="1:15" ht="17.25" thickTop="1" thickBot="1" x14ac:dyDescent="0.3">
      <c r="A1" s="1" t="s">
        <v>0</v>
      </c>
      <c r="B1" s="1" t="s">
        <v>1</v>
      </c>
      <c r="C1" s="4" t="s">
        <v>2</v>
      </c>
      <c r="E1" s="12" t="s">
        <v>3</v>
      </c>
      <c r="F1" s="12"/>
      <c r="H1" s="13" t="s">
        <v>4</v>
      </c>
      <c r="I1" s="13"/>
      <c r="K1" s="14" t="s">
        <v>6</v>
      </c>
      <c r="L1" s="14"/>
      <c r="N1" s="14" t="s">
        <v>15</v>
      </c>
      <c r="O1" s="14"/>
    </row>
    <row r="2" spans="1:15" ht="15.75" thickTop="1" x14ac:dyDescent="0.25">
      <c r="A2" s="2">
        <v>2500</v>
      </c>
      <c r="B2" s="2">
        <v>0</v>
      </c>
      <c r="C2" s="2" t="e">
        <f>LOG10($B2)</f>
        <v>#NUM!</v>
      </c>
      <c r="E2" s="4" t="s">
        <v>0</v>
      </c>
      <c r="F2" s="4" t="s">
        <v>2</v>
      </c>
      <c r="H2" s="6" t="s">
        <v>0</v>
      </c>
      <c r="I2" s="9" t="s">
        <v>5</v>
      </c>
      <c r="K2" s="7" t="s">
        <v>7</v>
      </c>
      <c r="L2" s="10">
        <v>350</v>
      </c>
      <c r="N2" s="7" t="s">
        <v>16</v>
      </c>
      <c r="O2" s="5">
        <v>22.6</v>
      </c>
    </row>
    <row r="3" spans="1:15" x14ac:dyDescent="0.25">
      <c r="A3" s="2">
        <v>2388.3000000000002</v>
      </c>
      <c r="B3" s="2">
        <v>0.1</v>
      </c>
      <c r="C3" s="2">
        <f t="shared" ref="C3:C57" si="0">LOG10($B3)</f>
        <v>-1</v>
      </c>
      <c r="E3" s="8">
        <v>2388.3000000000002</v>
      </c>
      <c r="F3" s="8">
        <f t="shared" ref="F3:F20" si="1">LOG10($B3)</f>
        <v>-1</v>
      </c>
      <c r="H3" s="8">
        <v>2343.1</v>
      </c>
      <c r="I3" s="8">
        <v>10</v>
      </c>
      <c r="K3" s="7" t="s">
        <v>8</v>
      </c>
      <c r="L3" s="11">
        <v>1.23</v>
      </c>
      <c r="N3" s="7" t="s">
        <v>17</v>
      </c>
      <c r="O3" s="5"/>
    </row>
    <row r="4" spans="1:15" x14ac:dyDescent="0.25">
      <c r="A4" s="2">
        <v>2381.5</v>
      </c>
      <c r="B4" s="2">
        <v>0.2</v>
      </c>
      <c r="C4" s="2">
        <f t="shared" si="0"/>
        <v>-0.69897000433601875</v>
      </c>
      <c r="E4" s="8">
        <v>2381.5</v>
      </c>
      <c r="F4" s="8">
        <f t="shared" si="1"/>
        <v>-0.69897000433601875</v>
      </c>
      <c r="H4" s="8">
        <v>2338.6999999999998</v>
      </c>
      <c r="I4" s="8">
        <v>11</v>
      </c>
      <c r="K4" s="7" t="s">
        <v>9</v>
      </c>
      <c r="L4" s="11">
        <v>0.8</v>
      </c>
      <c r="N4" s="7" t="s">
        <v>18</v>
      </c>
      <c r="O4" s="5"/>
    </row>
    <row r="5" spans="1:15" x14ac:dyDescent="0.25">
      <c r="A5" s="2">
        <v>2377.5</v>
      </c>
      <c r="B5" s="2">
        <v>0.3</v>
      </c>
      <c r="C5" s="2">
        <f t="shared" si="0"/>
        <v>-0.52287874528033762</v>
      </c>
      <c r="E5" s="8">
        <v>2377.5</v>
      </c>
      <c r="F5" s="8">
        <f t="shared" si="1"/>
        <v>-0.52287874528033762</v>
      </c>
      <c r="H5" s="8">
        <v>2337</v>
      </c>
      <c r="I5" s="8">
        <v>12</v>
      </c>
      <c r="K5" s="7" t="s">
        <v>10</v>
      </c>
      <c r="L5" s="8">
        <v>40</v>
      </c>
      <c r="N5" s="7" t="s">
        <v>19</v>
      </c>
      <c r="O5" s="5">
        <v>2365.69</v>
      </c>
    </row>
    <row r="6" spans="1:15" x14ac:dyDescent="0.25">
      <c r="A6" s="2">
        <v>2374.6999999999998</v>
      </c>
      <c r="B6" s="2">
        <v>0.4</v>
      </c>
      <c r="C6" s="2">
        <f t="shared" si="0"/>
        <v>-0.3979400086720376</v>
      </c>
      <c r="E6" s="8">
        <v>2374.6999999999998</v>
      </c>
      <c r="F6" s="8">
        <f t="shared" si="1"/>
        <v>-0.3979400086720376</v>
      </c>
      <c r="H6" s="8">
        <v>2335.3000000000002</v>
      </c>
      <c r="I6" s="8">
        <v>13</v>
      </c>
      <c r="K6" s="7" t="s">
        <v>11</v>
      </c>
      <c r="L6" s="11">
        <v>0.25</v>
      </c>
      <c r="N6" s="7" t="s">
        <v>20</v>
      </c>
      <c r="O6" s="5"/>
    </row>
    <row r="7" spans="1:15" x14ac:dyDescent="0.25">
      <c r="A7" s="2">
        <v>2372.5</v>
      </c>
      <c r="B7" s="2">
        <v>0.5</v>
      </c>
      <c r="C7" s="2">
        <f t="shared" si="0"/>
        <v>-0.3010299956639812</v>
      </c>
      <c r="E7" s="8">
        <v>2372.5</v>
      </c>
      <c r="F7" s="8">
        <f t="shared" si="1"/>
        <v>-0.3010299956639812</v>
      </c>
      <c r="H7" s="8">
        <v>2333.6</v>
      </c>
      <c r="I7" s="8">
        <v>14</v>
      </c>
      <c r="K7" s="7" t="s">
        <v>12</v>
      </c>
      <c r="L7" s="2">
        <v>3.5999999999999998E-6</v>
      </c>
      <c r="N7" s="7" t="s">
        <v>21</v>
      </c>
      <c r="O7" s="5"/>
    </row>
    <row r="8" spans="1:15" x14ac:dyDescent="0.25">
      <c r="A8" s="2">
        <v>2370.6999999999998</v>
      </c>
      <c r="B8" s="2">
        <v>0.6</v>
      </c>
      <c r="C8" s="2">
        <f t="shared" si="0"/>
        <v>-0.22184874961635639</v>
      </c>
      <c r="E8" s="8">
        <v>2370.6999999999998</v>
      </c>
      <c r="F8" s="8">
        <f t="shared" si="1"/>
        <v>-0.22184874961635639</v>
      </c>
      <c r="H8" s="8">
        <v>2331.8000000000002</v>
      </c>
      <c r="I8" s="8">
        <v>15</v>
      </c>
      <c r="K8" s="7" t="s">
        <v>13</v>
      </c>
      <c r="L8" s="11">
        <v>0.33</v>
      </c>
      <c r="N8" s="7" t="s">
        <v>22</v>
      </c>
      <c r="O8" s="5"/>
    </row>
    <row r="9" spans="1:15" x14ac:dyDescent="0.25">
      <c r="A9" s="2">
        <v>2369.1999999999998</v>
      </c>
      <c r="B9" s="2">
        <v>0.7</v>
      </c>
      <c r="C9" s="2">
        <f t="shared" si="0"/>
        <v>-0.15490195998574319</v>
      </c>
      <c r="E9" s="8">
        <v>2369.1999999999998</v>
      </c>
      <c r="F9" s="8">
        <f t="shared" si="1"/>
        <v>-0.15490195998574319</v>
      </c>
      <c r="H9" s="8">
        <v>2330.1</v>
      </c>
      <c r="I9" s="8">
        <v>16</v>
      </c>
      <c r="K9" s="7" t="s">
        <v>14</v>
      </c>
      <c r="L9" s="10">
        <v>2500</v>
      </c>
      <c r="N9" s="7" t="s">
        <v>23</v>
      </c>
      <c r="O9" s="5"/>
    </row>
    <row r="10" spans="1:15" x14ac:dyDescent="0.25">
      <c r="A10" s="2">
        <v>2367.9</v>
      </c>
      <c r="B10" s="2">
        <v>0.8</v>
      </c>
      <c r="C10" s="2">
        <f t="shared" si="0"/>
        <v>-9.6910013008056392E-2</v>
      </c>
      <c r="E10" s="8">
        <v>2367.9</v>
      </c>
      <c r="F10" s="8">
        <f t="shared" si="1"/>
        <v>-9.6910013008056392E-2</v>
      </c>
      <c r="H10" s="8">
        <v>2328.4</v>
      </c>
      <c r="I10" s="8">
        <v>17</v>
      </c>
      <c r="N10" s="7" t="s">
        <v>24</v>
      </c>
      <c r="O10" s="5"/>
    </row>
    <row r="11" spans="1:15" x14ac:dyDescent="0.25">
      <c r="A11" s="2">
        <v>2366.6999999999998</v>
      </c>
      <c r="B11" s="2">
        <v>0.9</v>
      </c>
      <c r="C11" s="2">
        <f t="shared" si="0"/>
        <v>-4.5757490560675115E-2</v>
      </c>
      <c r="E11" s="8">
        <v>2366.6999999999998</v>
      </c>
      <c r="F11" s="8">
        <f t="shared" si="1"/>
        <v>-4.5757490560675115E-2</v>
      </c>
      <c r="H11" s="8">
        <v>2326.6999999999998</v>
      </c>
      <c r="I11" s="8">
        <v>18</v>
      </c>
    </row>
    <row r="12" spans="1:15" x14ac:dyDescent="0.25">
      <c r="A12" s="2">
        <v>2365.6999999999998</v>
      </c>
      <c r="B12" s="2">
        <v>1</v>
      </c>
      <c r="C12" s="2">
        <f t="shared" si="0"/>
        <v>0</v>
      </c>
      <c r="E12" s="8">
        <v>2365.6999999999998</v>
      </c>
      <c r="F12" s="8">
        <f t="shared" si="1"/>
        <v>0</v>
      </c>
      <c r="H12" s="8">
        <v>2324.9</v>
      </c>
      <c r="I12" s="8">
        <v>19</v>
      </c>
    </row>
    <row r="13" spans="1:15" x14ac:dyDescent="0.25">
      <c r="A13" s="2">
        <v>2358.9</v>
      </c>
      <c r="B13" s="2">
        <v>2</v>
      </c>
      <c r="C13" s="2">
        <f t="shared" si="0"/>
        <v>0.3010299956639812</v>
      </c>
      <c r="E13" s="8">
        <v>2358.9</v>
      </c>
      <c r="F13" s="8">
        <f t="shared" si="1"/>
        <v>0.3010299956639812</v>
      </c>
      <c r="H13" s="8">
        <v>2323.1999999999998</v>
      </c>
      <c r="I13" s="8">
        <v>20</v>
      </c>
    </row>
    <row r="14" spans="1:15" x14ac:dyDescent="0.25">
      <c r="A14" s="2">
        <v>2354.9</v>
      </c>
      <c r="B14" s="2">
        <v>3</v>
      </c>
      <c r="C14" s="2">
        <f t="shared" si="0"/>
        <v>0.47712125471966244</v>
      </c>
      <c r="E14" s="8">
        <v>2354.9</v>
      </c>
      <c r="F14" s="8">
        <f t="shared" si="1"/>
        <v>0.47712125471966244</v>
      </c>
      <c r="H14" s="8">
        <v>2321.5</v>
      </c>
      <c r="I14" s="8">
        <v>21</v>
      </c>
    </row>
    <row r="15" spans="1:15" x14ac:dyDescent="0.25">
      <c r="A15" s="2">
        <v>2352.1</v>
      </c>
      <c r="B15" s="2">
        <v>4</v>
      </c>
      <c r="C15" s="2">
        <f t="shared" si="0"/>
        <v>0.6020599913279624</v>
      </c>
      <c r="E15" s="8">
        <v>2352.1</v>
      </c>
      <c r="F15" s="8">
        <f t="shared" si="1"/>
        <v>0.6020599913279624</v>
      </c>
      <c r="H15" s="8">
        <v>2319.8000000000002</v>
      </c>
      <c r="I15" s="8">
        <v>22</v>
      </c>
    </row>
    <row r="16" spans="1:15" x14ac:dyDescent="0.25">
      <c r="A16" s="2">
        <v>2349.9</v>
      </c>
      <c r="B16" s="2">
        <v>5</v>
      </c>
      <c r="C16" s="2">
        <f t="shared" si="0"/>
        <v>0.69897000433601886</v>
      </c>
      <c r="E16" s="8">
        <v>2349.9</v>
      </c>
      <c r="F16" s="8">
        <f t="shared" si="1"/>
        <v>0.69897000433601886</v>
      </c>
      <c r="H16" s="8">
        <v>2318</v>
      </c>
      <c r="I16" s="8">
        <v>23</v>
      </c>
    </row>
    <row r="17" spans="1:9" x14ac:dyDescent="0.25">
      <c r="A17" s="2">
        <v>2348.1</v>
      </c>
      <c r="B17" s="2">
        <v>6</v>
      </c>
      <c r="C17" s="2">
        <f t="shared" si="0"/>
        <v>0.77815125038364363</v>
      </c>
      <c r="E17" s="8">
        <v>2348.1</v>
      </c>
      <c r="F17" s="8">
        <f t="shared" si="1"/>
        <v>0.77815125038364363</v>
      </c>
      <c r="H17" s="8">
        <v>2316.3000000000002</v>
      </c>
      <c r="I17" s="8">
        <v>24</v>
      </c>
    </row>
    <row r="18" spans="1:9" ht="15.75" x14ac:dyDescent="0.25">
      <c r="A18" s="2">
        <v>2346.6</v>
      </c>
      <c r="B18" s="2">
        <v>7</v>
      </c>
      <c r="C18" s="2">
        <f t="shared" si="0"/>
        <v>0.84509804001425681</v>
      </c>
      <c r="D18" s="3"/>
      <c r="E18" s="8">
        <v>2346.6</v>
      </c>
      <c r="F18" s="8">
        <f t="shared" si="1"/>
        <v>0.84509804001425681</v>
      </c>
      <c r="H18" s="8">
        <v>2314.6</v>
      </c>
      <c r="I18" s="8">
        <v>25</v>
      </c>
    </row>
    <row r="19" spans="1:9" x14ac:dyDescent="0.25">
      <c r="A19" s="2">
        <v>2345.3000000000002</v>
      </c>
      <c r="B19" s="2">
        <v>8</v>
      </c>
      <c r="C19" s="2">
        <f t="shared" si="0"/>
        <v>0.90308998699194354</v>
      </c>
      <c r="E19" s="8">
        <v>2345.3000000000002</v>
      </c>
      <c r="F19" s="8">
        <f t="shared" si="1"/>
        <v>0.90308998699194354</v>
      </c>
      <c r="H19" s="8">
        <v>2312.9</v>
      </c>
      <c r="I19" s="8">
        <v>26</v>
      </c>
    </row>
    <row r="20" spans="1:9" x14ac:dyDescent="0.25">
      <c r="A20" s="2">
        <v>2344.1</v>
      </c>
      <c r="B20" s="2">
        <v>9</v>
      </c>
      <c r="C20" s="2">
        <f t="shared" si="0"/>
        <v>0.95424250943932487</v>
      </c>
      <c r="E20" s="8">
        <v>2344.1</v>
      </c>
      <c r="F20" s="8">
        <f t="shared" si="1"/>
        <v>0.95424250943932487</v>
      </c>
      <c r="H20" s="8">
        <v>2311.1</v>
      </c>
      <c r="I20" s="8">
        <v>27</v>
      </c>
    </row>
    <row r="21" spans="1:9" x14ac:dyDescent="0.25">
      <c r="A21" s="2">
        <v>2343.1</v>
      </c>
      <c r="B21" s="2">
        <v>10</v>
      </c>
      <c r="C21" s="2">
        <f t="shared" si="0"/>
        <v>1</v>
      </c>
      <c r="E21" s="8"/>
      <c r="F21" s="8"/>
      <c r="H21" s="8">
        <v>2309.4</v>
      </c>
      <c r="I21" s="8">
        <v>28</v>
      </c>
    </row>
    <row r="22" spans="1:9" x14ac:dyDescent="0.25">
      <c r="A22" s="2">
        <v>2338.6999999999998</v>
      </c>
      <c r="B22" s="2">
        <v>11</v>
      </c>
      <c r="C22" s="2">
        <f t="shared" si="0"/>
        <v>1.0413926851582251</v>
      </c>
      <c r="E22" s="8"/>
      <c r="F22" s="8"/>
      <c r="H22" s="8">
        <v>2307.6999999999998</v>
      </c>
      <c r="I22" s="8">
        <v>29</v>
      </c>
    </row>
    <row r="23" spans="1:9" x14ac:dyDescent="0.25">
      <c r="A23" s="2">
        <v>2337</v>
      </c>
      <c r="B23" s="2">
        <v>12</v>
      </c>
      <c r="C23" s="2">
        <f t="shared" si="0"/>
        <v>1.0791812460476249</v>
      </c>
      <c r="E23" s="8"/>
      <c r="F23" s="8"/>
      <c r="H23" s="8">
        <v>2306</v>
      </c>
      <c r="I23" s="8">
        <v>30</v>
      </c>
    </row>
    <row r="24" spans="1:9" x14ac:dyDescent="0.25">
      <c r="A24" s="2">
        <v>2335.3000000000002</v>
      </c>
      <c r="B24" s="2">
        <v>13</v>
      </c>
      <c r="C24" s="2">
        <f t="shared" si="0"/>
        <v>1.1139433523068367</v>
      </c>
      <c r="E24" s="8"/>
      <c r="F24" s="8"/>
      <c r="H24" s="8">
        <v>2304.1999999999998</v>
      </c>
      <c r="I24" s="8">
        <v>31</v>
      </c>
    </row>
    <row r="25" spans="1:9" x14ac:dyDescent="0.25">
      <c r="A25" s="2">
        <v>2333.6</v>
      </c>
      <c r="B25" s="2">
        <v>14</v>
      </c>
      <c r="C25" s="2">
        <f t="shared" si="0"/>
        <v>1.146128035678238</v>
      </c>
      <c r="E25" s="8"/>
      <c r="F25" s="8"/>
      <c r="H25" s="8">
        <v>2302.5</v>
      </c>
      <c r="I25" s="8">
        <v>32</v>
      </c>
    </row>
    <row r="26" spans="1:9" x14ac:dyDescent="0.25">
      <c r="A26" s="2">
        <v>2331.8000000000002</v>
      </c>
      <c r="B26" s="2">
        <v>15</v>
      </c>
      <c r="C26" s="2">
        <f t="shared" si="0"/>
        <v>1.1760912590556813</v>
      </c>
      <c r="E26" s="8"/>
      <c r="F26" s="8"/>
      <c r="H26" s="8">
        <v>2300.8000000000002</v>
      </c>
      <c r="I26" s="8">
        <v>33</v>
      </c>
    </row>
    <row r="27" spans="1:9" x14ac:dyDescent="0.25">
      <c r="A27" s="2">
        <v>2330.1</v>
      </c>
      <c r="B27" s="2">
        <v>16</v>
      </c>
      <c r="C27" s="2">
        <f t="shared" si="0"/>
        <v>1.2041199826559248</v>
      </c>
      <c r="E27" s="8"/>
      <c r="F27" s="8"/>
      <c r="H27" s="8">
        <v>2299.1</v>
      </c>
      <c r="I27" s="8">
        <v>34</v>
      </c>
    </row>
    <row r="28" spans="1:9" x14ac:dyDescent="0.25">
      <c r="A28" s="2">
        <v>2328.4</v>
      </c>
      <c r="B28" s="2">
        <v>17</v>
      </c>
      <c r="C28" s="2">
        <f t="shared" si="0"/>
        <v>1.2304489213782739</v>
      </c>
      <c r="E28" s="8"/>
      <c r="F28" s="8"/>
      <c r="H28" s="8">
        <v>2297.4</v>
      </c>
      <c r="I28" s="8">
        <v>35</v>
      </c>
    </row>
    <row r="29" spans="1:9" x14ac:dyDescent="0.25">
      <c r="A29" s="2">
        <v>2326.6999999999998</v>
      </c>
      <c r="B29" s="2">
        <v>18</v>
      </c>
      <c r="C29" s="2">
        <f t="shared" si="0"/>
        <v>1.255272505103306</v>
      </c>
      <c r="E29" s="8"/>
      <c r="F29" s="8"/>
      <c r="H29" s="8">
        <v>2295.6</v>
      </c>
      <c r="I29" s="8">
        <v>36</v>
      </c>
    </row>
    <row r="30" spans="1:9" x14ac:dyDescent="0.25">
      <c r="A30" s="2">
        <v>2324.9</v>
      </c>
      <c r="B30" s="2">
        <v>19</v>
      </c>
      <c r="C30" s="2">
        <f t="shared" si="0"/>
        <v>1.2787536009528289</v>
      </c>
      <c r="E30" s="8"/>
      <c r="F30" s="8"/>
      <c r="H30" s="8">
        <v>2293.9</v>
      </c>
      <c r="I30" s="8">
        <v>37</v>
      </c>
    </row>
    <row r="31" spans="1:9" x14ac:dyDescent="0.25">
      <c r="A31" s="2">
        <v>2323.1999999999998</v>
      </c>
      <c r="B31" s="2">
        <v>20</v>
      </c>
      <c r="C31" s="2">
        <f t="shared" si="0"/>
        <v>1.3010299956639813</v>
      </c>
      <c r="E31" s="8"/>
      <c r="F31" s="8"/>
      <c r="H31" s="8">
        <v>2292.1999999999998</v>
      </c>
      <c r="I31" s="8">
        <v>38</v>
      </c>
    </row>
    <row r="32" spans="1:9" x14ac:dyDescent="0.25">
      <c r="A32" s="2">
        <v>2321.5</v>
      </c>
      <c r="B32" s="2">
        <v>21</v>
      </c>
      <c r="C32" s="2">
        <f t="shared" si="0"/>
        <v>1.3222192947339193</v>
      </c>
      <c r="E32" s="8"/>
      <c r="F32" s="8"/>
      <c r="H32" s="8">
        <v>2290.5</v>
      </c>
      <c r="I32" s="8">
        <v>39</v>
      </c>
    </row>
    <row r="33" spans="1:9" x14ac:dyDescent="0.25">
      <c r="A33" s="2">
        <v>2319.8000000000002</v>
      </c>
      <c r="B33" s="2">
        <v>22</v>
      </c>
      <c r="C33" s="2">
        <f t="shared" si="0"/>
        <v>1.3424226808222062</v>
      </c>
      <c r="E33" s="8"/>
      <c r="F33" s="8"/>
      <c r="H33" s="8">
        <v>2288.6999999999998</v>
      </c>
      <c r="I33" s="8">
        <v>40</v>
      </c>
    </row>
    <row r="34" spans="1:9" x14ac:dyDescent="0.25">
      <c r="A34" s="2">
        <v>2318</v>
      </c>
      <c r="B34" s="2">
        <v>23</v>
      </c>
      <c r="C34" s="2">
        <f t="shared" si="0"/>
        <v>1.3617278360175928</v>
      </c>
      <c r="E34" s="8"/>
      <c r="F34" s="8"/>
      <c r="H34" s="8">
        <v>2287</v>
      </c>
      <c r="I34" s="8">
        <v>41</v>
      </c>
    </row>
    <row r="35" spans="1:9" x14ac:dyDescent="0.25">
      <c r="A35" s="2">
        <v>2316.3000000000002</v>
      </c>
      <c r="B35" s="2">
        <v>24</v>
      </c>
      <c r="C35" s="2">
        <f t="shared" si="0"/>
        <v>1.3802112417116059</v>
      </c>
      <c r="E35" s="8"/>
      <c r="F35" s="8"/>
      <c r="H35" s="8">
        <v>2285.3000000000002</v>
      </c>
      <c r="I35" s="8">
        <v>42</v>
      </c>
    </row>
    <row r="36" spans="1:9" x14ac:dyDescent="0.25">
      <c r="A36" s="2">
        <v>2314.6</v>
      </c>
      <c r="B36" s="2">
        <v>25</v>
      </c>
      <c r="C36" s="2">
        <f t="shared" si="0"/>
        <v>1.3979400086720377</v>
      </c>
      <c r="E36" s="8"/>
      <c r="F36" s="8"/>
      <c r="H36" s="8">
        <v>2283.6</v>
      </c>
      <c r="I36" s="8">
        <v>43</v>
      </c>
    </row>
    <row r="37" spans="1:9" x14ac:dyDescent="0.25">
      <c r="A37" s="2">
        <v>2312.9</v>
      </c>
      <c r="B37" s="2">
        <v>26</v>
      </c>
      <c r="C37" s="2">
        <f t="shared" si="0"/>
        <v>1.414973347970818</v>
      </c>
      <c r="E37" s="8"/>
      <c r="F37" s="8"/>
      <c r="H37" s="8">
        <v>2281.8000000000002</v>
      </c>
      <c r="I37" s="8">
        <v>44</v>
      </c>
    </row>
    <row r="38" spans="1:9" x14ac:dyDescent="0.25">
      <c r="A38" s="2">
        <v>2311.1</v>
      </c>
      <c r="B38" s="2">
        <v>27</v>
      </c>
      <c r="C38" s="2">
        <f t="shared" si="0"/>
        <v>1.4313637641589874</v>
      </c>
      <c r="E38" s="8"/>
      <c r="F38" s="8"/>
      <c r="H38" s="8">
        <v>2280.1</v>
      </c>
      <c r="I38" s="8">
        <v>45</v>
      </c>
    </row>
    <row r="39" spans="1:9" x14ac:dyDescent="0.25">
      <c r="A39" s="2">
        <v>2309.4</v>
      </c>
      <c r="B39" s="2">
        <v>28</v>
      </c>
      <c r="C39" s="2">
        <f t="shared" si="0"/>
        <v>1.4471580313422192</v>
      </c>
      <c r="E39" s="8"/>
      <c r="F39" s="8"/>
      <c r="H39" s="8">
        <v>2278.4</v>
      </c>
      <c r="I39" s="8">
        <v>46</v>
      </c>
    </row>
    <row r="40" spans="1:9" x14ac:dyDescent="0.25">
      <c r="A40" s="2">
        <v>2307.6999999999998</v>
      </c>
      <c r="B40" s="2">
        <v>29</v>
      </c>
      <c r="C40" s="2">
        <f t="shared" si="0"/>
        <v>1.4623979978989561</v>
      </c>
      <c r="E40" s="8"/>
      <c r="F40" s="8"/>
      <c r="H40" s="8"/>
      <c r="I40" s="8"/>
    </row>
    <row r="41" spans="1:9" x14ac:dyDescent="0.25">
      <c r="A41" s="2">
        <v>2306</v>
      </c>
      <c r="B41" s="2">
        <v>30</v>
      </c>
      <c r="C41" s="2">
        <f t="shared" si="0"/>
        <v>1.4771212547196624</v>
      </c>
      <c r="E41" s="8"/>
      <c r="F41" s="8"/>
      <c r="H41" s="8"/>
      <c r="I41" s="8"/>
    </row>
    <row r="42" spans="1:9" x14ac:dyDescent="0.25">
      <c r="A42" s="2">
        <v>2304.1999999999998</v>
      </c>
      <c r="B42" s="2">
        <v>31</v>
      </c>
      <c r="C42" s="2">
        <f t="shared" si="0"/>
        <v>1.4913616938342726</v>
      </c>
      <c r="E42" s="8"/>
      <c r="F42" s="8"/>
      <c r="H42" s="8"/>
      <c r="I42" s="8"/>
    </row>
    <row r="43" spans="1:9" x14ac:dyDescent="0.25">
      <c r="A43" s="2">
        <v>2302.5</v>
      </c>
      <c r="B43" s="2">
        <v>32</v>
      </c>
      <c r="C43" s="2">
        <f t="shared" si="0"/>
        <v>1.505149978319906</v>
      </c>
      <c r="E43" s="8"/>
      <c r="F43" s="8"/>
      <c r="H43" s="8"/>
      <c r="I43" s="8"/>
    </row>
    <row r="44" spans="1:9" x14ac:dyDescent="0.25">
      <c r="A44" s="2">
        <v>2300.8000000000002</v>
      </c>
      <c r="B44" s="2">
        <v>33</v>
      </c>
      <c r="C44" s="2">
        <f t="shared" si="0"/>
        <v>1.5185139398778875</v>
      </c>
      <c r="E44" s="8"/>
      <c r="F44" s="8"/>
      <c r="H44" s="8"/>
      <c r="I44" s="8"/>
    </row>
    <row r="45" spans="1:9" x14ac:dyDescent="0.25">
      <c r="A45" s="2">
        <v>2299.1</v>
      </c>
      <c r="B45" s="2">
        <v>34</v>
      </c>
      <c r="C45" s="2">
        <f t="shared" si="0"/>
        <v>1.5314789170422551</v>
      </c>
      <c r="E45" s="8"/>
      <c r="F45" s="8"/>
      <c r="H45" s="8"/>
      <c r="I45" s="8"/>
    </row>
    <row r="46" spans="1:9" x14ac:dyDescent="0.25">
      <c r="A46" s="2">
        <v>2297.4</v>
      </c>
      <c r="B46" s="2">
        <v>35</v>
      </c>
      <c r="C46" s="2">
        <f t="shared" si="0"/>
        <v>1.5440680443502757</v>
      </c>
      <c r="E46" s="8"/>
      <c r="F46" s="8"/>
      <c r="H46" s="8"/>
      <c r="I46" s="8"/>
    </row>
    <row r="47" spans="1:9" x14ac:dyDescent="0.25">
      <c r="A47" s="2">
        <v>2295.6</v>
      </c>
      <c r="B47" s="2">
        <v>36</v>
      </c>
      <c r="C47" s="2">
        <f t="shared" si="0"/>
        <v>1.5563025007672873</v>
      </c>
      <c r="E47" s="8"/>
      <c r="F47" s="8"/>
      <c r="H47" s="8"/>
      <c r="I47" s="8"/>
    </row>
    <row r="48" spans="1:9" x14ac:dyDescent="0.25">
      <c r="A48" s="2">
        <v>2293.9</v>
      </c>
      <c r="B48" s="2">
        <v>37</v>
      </c>
      <c r="C48" s="2">
        <f t="shared" si="0"/>
        <v>1.568201724066995</v>
      </c>
      <c r="E48" s="8"/>
      <c r="F48" s="8"/>
      <c r="H48" s="8"/>
      <c r="I48" s="8"/>
    </row>
    <row r="49" spans="1:9" x14ac:dyDescent="0.25">
      <c r="A49" s="2">
        <v>2292.1999999999998</v>
      </c>
      <c r="B49" s="2">
        <v>38</v>
      </c>
      <c r="C49" s="2">
        <f t="shared" si="0"/>
        <v>1.5797835966168101</v>
      </c>
      <c r="E49" s="8"/>
      <c r="F49" s="8"/>
      <c r="H49" s="8"/>
      <c r="I49" s="8"/>
    </row>
    <row r="50" spans="1:9" x14ac:dyDescent="0.25">
      <c r="A50" s="2">
        <v>2290.5</v>
      </c>
      <c r="B50" s="2">
        <v>39</v>
      </c>
      <c r="C50" s="2">
        <f t="shared" si="0"/>
        <v>1.5910646070264991</v>
      </c>
      <c r="E50" s="8"/>
      <c r="F50" s="8"/>
      <c r="H50" s="8"/>
      <c r="I50" s="8"/>
    </row>
    <row r="51" spans="1:9" x14ac:dyDescent="0.25">
      <c r="A51" s="2">
        <v>2288.6999999999998</v>
      </c>
      <c r="B51" s="2">
        <v>40</v>
      </c>
      <c r="C51" s="2">
        <f t="shared" si="0"/>
        <v>1.6020599913279623</v>
      </c>
      <c r="E51" s="8"/>
      <c r="F51" s="8"/>
      <c r="H51" s="8"/>
      <c r="I51" s="8"/>
    </row>
    <row r="52" spans="1:9" x14ac:dyDescent="0.25">
      <c r="A52" s="2">
        <v>2287</v>
      </c>
      <c r="B52" s="2">
        <v>41</v>
      </c>
      <c r="C52" s="2">
        <f t="shared" si="0"/>
        <v>1.6127838567197355</v>
      </c>
    </row>
    <row r="53" spans="1:9" x14ac:dyDescent="0.25">
      <c r="A53" s="2">
        <v>2285.3000000000002</v>
      </c>
      <c r="B53" s="2">
        <v>42</v>
      </c>
      <c r="C53" s="2">
        <f t="shared" si="0"/>
        <v>1.6232492903979006</v>
      </c>
    </row>
    <row r="54" spans="1:9" x14ac:dyDescent="0.25">
      <c r="A54" s="2">
        <v>2283.6</v>
      </c>
      <c r="B54" s="2">
        <v>43</v>
      </c>
      <c r="C54" s="2">
        <f t="shared" si="0"/>
        <v>1.6334684555795864</v>
      </c>
    </row>
    <row r="55" spans="1:9" x14ac:dyDescent="0.25">
      <c r="A55" s="2">
        <v>2281.8000000000002</v>
      </c>
      <c r="B55" s="2">
        <v>44</v>
      </c>
      <c r="C55" s="2">
        <f t="shared" si="0"/>
        <v>1.6434526764861874</v>
      </c>
    </row>
    <row r="56" spans="1:9" x14ac:dyDescent="0.25">
      <c r="A56" s="2">
        <v>2280.1</v>
      </c>
      <c r="B56" s="2">
        <v>45</v>
      </c>
      <c r="C56" s="2">
        <f t="shared" si="0"/>
        <v>1.6532125137753437</v>
      </c>
    </row>
    <row r="57" spans="1:9" x14ac:dyDescent="0.25">
      <c r="A57" s="2">
        <v>2278.4</v>
      </c>
      <c r="B57" s="2">
        <v>46</v>
      </c>
      <c r="C57" s="2">
        <f t="shared" si="0"/>
        <v>1.6627578316815741</v>
      </c>
    </row>
    <row r="58" spans="1:9" x14ac:dyDescent="0.25">
      <c r="A58" s="2"/>
      <c r="B58" s="2"/>
      <c r="C58" s="2"/>
    </row>
    <row r="59" spans="1:9" x14ac:dyDescent="0.25">
      <c r="A59" s="2"/>
      <c r="B59" s="2"/>
      <c r="C59" s="2"/>
    </row>
    <row r="60" spans="1:9" x14ac:dyDescent="0.25">
      <c r="A60" s="2"/>
      <c r="B60" s="2"/>
      <c r="C60" s="2"/>
    </row>
    <row r="61" spans="1:9" x14ac:dyDescent="0.25">
      <c r="A61" s="2"/>
      <c r="B61" s="2"/>
      <c r="C61" s="2"/>
    </row>
    <row r="62" spans="1:9" x14ac:dyDescent="0.25">
      <c r="A62" s="2"/>
      <c r="B62" s="2"/>
      <c r="C62" s="2"/>
    </row>
    <row r="63" spans="1:9" x14ac:dyDescent="0.25">
      <c r="A63" s="2"/>
      <c r="B63" s="2"/>
      <c r="C63" s="2"/>
    </row>
    <row r="64" spans="1:9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sheetProtection selectLockedCells="1"/>
  <mergeCells count="4">
    <mergeCell ref="E1:F1"/>
    <mergeCell ref="H1:I1"/>
    <mergeCell ref="K1:L1"/>
    <mergeCell ref="N1:O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DC9E3-FFE1-4BB6-A066-F58F63D52BF6}">
  <sheetPr codeName="Sheet5"/>
  <dimension ref="A1:L101"/>
  <sheetViews>
    <sheetView workbookViewId="0">
      <pane ySplit="1" topLeftCell="A2" activePane="bottomLeft" state="frozenSplit"/>
      <selection activeCell="L2" sqref="L2:L9"/>
      <selection pane="bottomLeft" activeCell="L2" sqref="L2:L9"/>
    </sheetView>
  </sheetViews>
  <sheetFormatPr defaultRowHeight="15" x14ac:dyDescent="0.25"/>
  <cols>
    <col min="3" max="3" width="11.85546875" bestFit="1" customWidth="1"/>
    <col min="8" max="8" width="12" customWidth="1"/>
    <col min="9" max="9" width="16.42578125" bestFit="1" customWidth="1"/>
    <col min="11" max="11" width="25.5703125" bestFit="1" customWidth="1"/>
    <col min="12" max="12" width="13.42578125" customWidth="1"/>
  </cols>
  <sheetData>
    <row r="1" spans="1:12" ht="17.25" thickTop="1" thickBot="1" x14ac:dyDescent="0.3">
      <c r="A1" s="1" t="s">
        <v>26</v>
      </c>
      <c r="B1" s="1" t="s">
        <v>25</v>
      </c>
      <c r="C1" s="4" t="s">
        <v>27</v>
      </c>
      <c r="E1" s="12" t="s">
        <v>3</v>
      </c>
      <c r="F1" s="12"/>
      <c r="H1" s="15" t="s">
        <v>4</v>
      </c>
      <c r="I1" s="15"/>
      <c r="K1" s="14" t="s">
        <v>6</v>
      </c>
      <c r="L1" s="14"/>
    </row>
    <row r="2" spans="1:12" ht="15.75" thickTop="1" x14ac:dyDescent="0.25">
      <c r="A2" s="2">
        <v>2962.4</v>
      </c>
      <c r="B2" s="2">
        <v>0</v>
      </c>
      <c r="C2" s="2" t="e">
        <f>LOG10((310+($B2))/($B2))</f>
        <v>#DIV/0!</v>
      </c>
      <c r="E2" s="4" t="s">
        <v>26</v>
      </c>
      <c r="F2" s="4" t="s">
        <v>28</v>
      </c>
      <c r="H2" s="6" t="s">
        <v>26</v>
      </c>
      <c r="I2" s="9" t="s">
        <v>28</v>
      </c>
      <c r="K2" s="7" t="s">
        <v>7</v>
      </c>
      <c r="L2" s="10">
        <v>350</v>
      </c>
    </row>
    <row r="3" spans="1:12" x14ac:dyDescent="0.25">
      <c r="A3" s="2">
        <v>3129.2</v>
      </c>
      <c r="B3" s="2">
        <v>0.02</v>
      </c>
      <c r="C3" s="2">
        <f t="shared" ref="C3:C41" si="0">LOG10((310+($B3))/($B3))</f>
        <v>4.1903597162653243</v>
      </c>
      <c r="E3" s="8">
        <v>3688</v>
      </c>
      <c r="F3" s="8">
        <f t="shared" ref="F3:F7" si="1">LOG10((310+($B3))/($B3))</f>
        <v>4.1903597162653243</v>
      </c>
      <c r="H3" s="8">
        <v>5244.3</v>
      </c>
      <c r="I3" s="8">
        <f t="shared" ref="I3:I34" si="2">LOG10((310+($B3))/($B3))</f>
        <v>4.1903597162653243</v>
      </c>
      <c r="K3" s="7" t="s">
        <v>8</v>
      </c>
      <c r="L3" s="11">
        <v>1.23</v>
      </c>
    </row>
    <row r="4" spans="1:12" x14ac:dyDescent="0.25">
      <c r="A4" s="2">
        <v>3357.5</v>
      </c>
      <c r="B4" s="2">
        <v>0.05</v>
      </c>
      <c r="C4" s="2">
        <f t="shared" si="0"/>
        <v>3.7924617313469509</v>
      </c>
      <c r="E4" s="8">
        <v>3967</v>
      </c>
      <c r="F4" s="8">
        <f t="shared" si="1"/>
        <v>3.7924617313469509</v>
      </c>
      <c r="H4" s="8">
        <v>5431.2</v>
      </c>
      <c r="I4" s="8">
        <f t="shared" si="2"/>
        <v>3.7924617313469509</v>
      </c>
      <c r="K4" s="7" t="s">
        <v>9</v>
      </c>
      <c r="L4" s="11">
        <v>0.8</v>
      </c>
    </row>
    <row r="5" spans="1:12" x14ac:dyDescent="0.25">
      <c r="A5" s="2">
        <v>3688</v>
      </c>
      <c r="B5" s="2">
        <v>0.1</v>
      </c>
      <c r="C5" s="2">
        <f t="shared" si="0"/>
        <v>3.4915017662373264</v>
      </c>
      <c r="E5" s="8">
        <v>4403.8999999999996</v>
      </c>
      <c r="F5" s="8">
        <f t="shared" si="1"/>
        <v>3.4915017662373264</v>
      </c>
      <c r="H5" s="8">
        <v>5616.9</v>
      </c>
      <c r="I5" s="8">
        <f t="shared" si="2"/>
        <v>3.4915017662373264</v>
      </c>
      <c r="K5" s="7" t="s">
        <v>10</v>
      </c>
      <c r="L5" s="8">
        <v>40</v>
      </c>
    </row>
    <row r="6" spans="1:12" x14ac:dyDescent="0.25">
      <c r="A6" s="2">
        <v>3967</v>
      </c>
      <c r="B6" s="2">
        <v>0.15</v>
      </c>
      <c r="C6" s="2">
        <f t="shared" si="0"/>
        <v>3.3154805264453038</v>
      </c>
      <c r="E6" s="8">
        <v>4712.3</v>
      </c>
      <c r="F6" s="8">
        <f t="shared" si="1"/>
        <v>3.3154805264453038</v>
      </c>
      <c r="H6" s="8">
        <v>5687</v>
      </c>
      <c r="I6" s="8">
        <f t="shared" si="2"/>
        <v>3.3154805264453038</v>
      </c>
      <c r="K6" s="7" t="s">
        <v>11</v>
      </c>
      <c r="L6" s="11">
        <v>0.25</v>
      </c>
    </row>
    <row r="7" spans="1:12" x14ac:dyDescent="0.25">
      <c r="A7" s="2">
        <v>4403.8999999999996</v>
      </c>
      <c r="B7" s="2">
        <v>0.25</v>
      </c>
      <c r="C7" s="2">
        <f t="shared" si="0"/>
        <v>3.09377178149873</v>
      </c>
      <c r="E7" s="8">
        <v>5039.8</v>
      </c>
      <c r="F7" s="8">
        <f t="shared" si="1"/>
        <v>3.09377178149873</v>
      </c>
      <c r="H7" s="8">
        <v>5723.2</v>
      </c>
      <c r="I7" s="8">
        <f t="shared" si="2"/>
        <v>3.09377178149873</v>
      </c>
      <c r="K7" s="7" t="s">
        <v>12</v>
      </c>
      <c r="L7" s="2">
        <v>3.5999999999999998E-6</v>
      </c>
    </row>
    <row r="8" spans="1:12" x14ac:dyDescent="0.25">
      <c r="A8" s="2">
        <v>4712.3</v>
      </c>
      <c r="B8" s="2">
        <v>0.34799999999999998</v>
      </c>
      <c r="C8" s="2">
        <f t="shared" si="0"/>
        <v>2.9502697070258015</v>
      </c>
      <c r="E8" s="8"/>
      <c r="F8" s="8"/>
      <c r="H8" s="8">
        <v>5745.8</v>
      </c>
      <c r="I8" s="8">
        <f t="shared" si="2"/>
        <v>2.9502697070258015</v>
      </c>
      <c r="K8" s="7" t="s">
        <v>13</v>
      </c>
      <c r="L8" s="11">
        <v>0.33</v>
      </c>
    </row>
    <row r="9" spans="1:12" x14ac:dyDescent="0.25">
      <c r="A9" s="2">
        <v>5039.8</v>
      </c>
      <c r="B9" s="2">
        <v>0.5</v>
      </c>
      <c r="C9" s="2">
        <f t="shared" si="0"/>
        <v>2.79309160017658</v>
      </c>
      <c r="E9" s="8"/>
      <c r="F9" s="8"/>
      <c r="H9" s="8">
        <v>5761.8</v>
      </c>
      <c r="I9" s="8">
        <f t="shared" si="2"/>
        <v>2.79309160017658</v>
      </c>
      <c r="K9" s="7" t="s">
        <v>29</v>
      </c>
      <c r="L9" s="10">
        <v>2962.4</v>
      </c>
    </row>
    <row r="10" spans="1:12" x14ac:dyDescent="0.25">
      <c r="A10" s="2">
        <v>5244.3</v>
      </c>
      <c r="B10" s="2">
        <v>0.65</v>
      </c>
      <c r="C10" s="2">
        <f t="shared" si="0"/>
        <v>2.6793580013062783</v>
      </c>
      <c r="E10" s="8"/>
      <c r="F10" s="8"/>
      <c r="H10" s="8">
        <v>5775</v>
      </c>
      <c r="I10" s="8">
        <f t="shared" si="2"/>
        <v>2.6793580013062783</v>
      </c>
    </row>
    <row r="11" spans="1:12" x14ac:dyDescent="0.25">
      <c r="A11" s="2">
        <v>5431.2</v>
      </c>
      <c r="B11" s="2">
        <v>0.88</v>
      </c>
      <c r="C11" s="2">
        <f t="shared" si="0"/>
        <v>2.5481101111055389</v>
      </c>
      <c r="E11" s="8"/>
      <c r="F11" s="8"/>
      <c r="H11" s="8">
        <v>5784.9</v>
      </c>
      <c r="I11" s="8">
        <f t="shared" si="2"/>
        <v>2.5481101111055389</v>
      </c>
    </row>
    <row r="12" spans="1:12" x14ac:dyDescent="0.25">
      <c r="A12" s="2">
        <v>5616.9</v>
      </c>
      <c r="B12" s="2">
        <v>1.425</v>
      </c>
      <c r="C12" s="2">
        <f t="shared" si="0"/>
        <v>2.3395386087759551</v>
      </c>
      <c r="E12" s="8"/>
      <c r="F12" s="8"/>
      <c r="H12" s="8">
        <v>5792.3</v>
      </c>
      <c r="I12" s="8">
        <f t="shared" si="2"/>
        <v>2.3395386087759551</v>
      </c>
    </row>
    <row r="13" spans="1:12" x14ac:dyDescent="0.25">
      <c r="A13" s="2">
        <v>5687</v>
      </c>
      <c r="B13" s="2">
        <v>1.9830000000000001</v>
      </c>
      <c r="C13" s="2">
        <f t="shared" si="0"/>
        <v>2.196808215687053</v>
      </c>
      <c r="E13" s="8"/>
      <c r="F13" s="8"/>
      <c r="H13" s="8">
        <v>5799.9</v>
      </c>
      <c r="I13" s="8">
        <f t="shared" si="2"/>
        <v>2.196808215687053</v>
      </c>
    </row>
    <row r="14" spans="1:12" x14ac:dyDescent="0.25">
      <c r="A14" s="2">
        <v>5723.2</v>
      </c>
      <c r="B14" s="2">
        <v>2.5550000000000002</v>
      </c>
      <c r="C14" s="2">
        <f t="shared" si="0"/>
        <v>2.0875355463126137</v>
      </c>
      <c r="E14" s="8"/>
      <c r="F14" s="8"/>
      <c r="H14" s="8">
        <v>5804.8</v>
      </c>
      <c r="I14" s="8">
        <f t="shared" si="2"/>
        <v>2.0875355463126137</v>
      </c>
    </row>
    <row r="15" spans="1:12" x14ac:dyDescent="0.25">
      <c r="A15" s="2">
        <v>5745.8</v>
      </c>
      <c r="B15" s="2">
        <v>3.14</v>
      </c>
      <c r="C15" s="2">
        <f t="shared" si="0"/>
        <v>1.998808899165889</v>
      </c>
      <c r="E15" s="8"/>
      <c r="F15" s="8"/>
      <c r="H15" s="8">
        <v>5809.4</v>
      </c>
      <c r="I15" s="8">
        <f t="shared" si="2"/>
        <v>1.998808899165889</v>
      </c>
    </row>
    <row r="16" spans="1:12" x14ac:dyDescent="0.25">
      <c r="A16" s="2">
        <v>5761.8</v>
      </c>
      <c r="B16" s="2">
        <v>3.74</v>
      </c>
      <c r="C16" s="2">
        <f t="shared" si="0"/>
        <v>1.923698290012819</v>
      </c>
      <c r="E16" s="8"/>
      <c r="F16" s="8"/>
      <c r="H16" s="8">
        <v>5813.4</v>
      </c>
      <c r="I16" s="8">
        <f t="shared" si="2"/>
        <v>1.923698290012819</v>
      </c>
    </row>
    <row r="17" spans="1:9" x14ac:dyDescent="0.25">
      <c r="A17" s="2">
        <v>5775</v>
      </c>
      <c r="B17" s="2">
        <v>4.3550000000000004</v>
      </c>
      <c r="C17" s="2">
        <f t="shared" si="0"/>
        <v>1.8584322131050188</v>
      </c>
      <c r="E17" s="8"/>
      <c r="F17" s="8"/>
      <c r="H17" s="8">
        <v>5815.8</v>
      </c>
      <c r="I17" s="8">
        <f t="shared" si="2"/>
        <v>1.8584322131050188</v>
      </c>
    </row>
    <row r="18" spans="1:9" ht="15.75" x14ac:dyDescent="0.25">
      <c r="A18" s="2">
        <v>5784.9</v>
      </c>
      <c r="B18" s="2">
        <v>4.984</v>
      </c>
      <c r="C18" s="2">
        <f t="shared" si="0"/>
        <v>1.800710460175974</v>
      </c>
      <c r="D18" s="3"/>
      <c r="E18" s="8"/>
      <c r="F18" s="8"/>
      <c r="H18" s="8">
        <v>5818</v>
      </c>
      <c r="I18" s="8">
        <f t="shared" si="2"/>
        <v>1.800710460175974</v>
      </c>
    </row>
    <row r="19" spans="1:9" x14ac:dyDescent="0.25">
      <c r="A19" s="2">
        <v>5792.3</v>
      </c>
      <c r="B19" s="2">
        <v>5.6280000000000001</v>
      </c>
      <c r="C19" s="2">
        <f t="shared" si="0"/>
        <v>1.7488214346279614</v>
      </c>
      <c r="E19" s="8"/>
      <c r="F19" s="8"/>
      <c r="H19" s="8">
        <v>5820</v>
      </c>
      <c r="I19" s="8">
        <f t="shared" si="2"/>
        <v>1.7488214346279614</v>
      </c>
    </row>
    <row r="20" spans="1:9" x14ac:dyDescent="0.25">
      <c r="A20" s="2">
        <v>5799.9</v>
      </c>
      <c r="B20" s="2">
        <v>6.2889999999999997</v>
      </c>
      <c r="C20" s="2">
        <f t="shared" si="0"/>
        <v>1.7015024934174245</v>
      </c>
      <c r="E20" s="8"/>
      <c r="F20" s="8"/>
      <c r="H20" s="8">
        <v>5821.7</v>
      </c>
      <c r="I20" s="8">
        <f t="shared" si="2"/>
        <v>1.7015024934174245</v>
      </c>
    </row>
    <row r="21" spans="1:9" x14ac:dyDescent="0.25">
      <c r="A21" s="2">
        <v>5804.8</v>
      </c>
      <c r="B21" s="2">
        <v>6.9649999999999999</v>
      </c>
      <c r="C21" s="2">
        <f t="shared" si="0"/>
        <v>1.6580901883156176</v>
      </c>
      <c r="E21" s="8"/>
      <c r="F21" s="8"/>
      <c r="H21" s="8">
        <v>5823.3</v>
      </c>
      <c r="I21" s="8">
        <f t="shared" si="2"/>
        <v>1.6580901883156176</v>
      </c>
    </row>
    <row r="22" spans="1:9" x14ac:dyDescent="0.25">
      <c r="A22" s="2">
        <v>5809.4</v>
      </c>
      <c r="B22" s="2">
        <v>7.657</v>
      </c>
      <c r="C22" s="2">
        <f t="shared" si="0"/>
        <v>1.6178997829468595</v>
      </c>
      <c r="E22" s="8"/>
      <c r="F22" s="8"/>
      <c r="H22" s="8">
        <v>5824.6</v>
      </c>
      <c r="I22" s="8">
        <f t="shared" si="2"/>
        <v>1.6178997829468595</v>
      </c>
    </row>
    <row r="23" spans="1:9" x14ac:dyDescent="0.25">
      <c r="A23" s="2">
        <v>5813.4</v>
      </c>
      <c r="B23" s="2">
        <v>8.3670000000000009</v>
      </c>
      <c r="C23" s="2">
        <f t="shared" si="0"/>
        <v>1.5803582760703501</v>
      </c>
      <c r="E23" s="8"/>
      <c r="F23" s="8"/>
      <c r="H23" s="8">
        <v>5826.2</v>
      </c>
      <c r="I23" s="8">
        <f t="shared" si="2"/>
        <v>1.5803582760703501</v>
      </c>
    </row>
    <row r="24" spans="1:9" x14ac:dyDescent="0.25">
      <c r="A24" s="2">
        <v>5815.8</v>
      </c>
      <c r="B24" s="2">
        <v>9.093</v>
      </c>
      <c r="C24" s="2">
        <f t="shared" si="0"/>
        <v>1.545210086015288</v>
      </c>
      <c r="E24" s="8"/>
      <c r="F24" s="8"/>
      <c r="H24" s="8">
        <v>5827.5</v>
      </c>
      <c r="I24" s="8">
        <f t="shared" si="2"/>
        <v>1.545210086015288</v>
      </c>
    </row>
    <row r="25" spans="1:9" x14ac:dyDescent="0.25">
      <c r="A25" s="2">
        <v>5818</v>
      </c>
      <c r="B25" s="2">
        <v>9.8369999999999997</v>
      </c>
      <c r="C25" s="2">
        <f t="shared" si="0"/>
        <v>1.5120660318183681</v>
      </c>
      <c r="E25" s="8"/>
      <c r="F25" s="8"/>
      <c r="H25" s="8">
        <v>5828.7</v>
      </c>
      <c r="I25" s="8">
        <f t="shared" si="2"/>
        <v>1.5120660318183681</v>
      </c>
    </row>
    <row r="26" spans="1:9" x14ac:dyDescent="0.25">
      <c r="A26" s="2">
        <v>5820</v>
      </c>
      <c r="B26" s="2">
        <v>10.599</v>
      </c>
      <c r="C26" s="2">
        <f t="shared" si="0"/>
        <v>1.4806972712311812</v>
      </c>
      <c r="E26" s="8"/>
      <c r="F26" s="8"/>
      <c r="H26" s="8">
        <v>5830.1</v>
      </c>
      <c r="I26" s="8">
        <f t="shared" si="2"/>
        <v>1.4806972712311812</v>
      </c>
    </row>
    <row r="27" spans="1:9" x14ac:dyDescent="0.25">
      <c r="A27" s="2">
        <v>5821.7</v>
      </c>
      <c r="B27" s="2">
        <v>11.38</v>
      </c>
      <c r="C27" s="2">
        <f t="shared" si="0"/>
        <v>1.4508765843573803</v>
      </c>
      <c r="E27" s="8"/>
      <c r="F27" s="8"/>
      <c r="H27" s="8">
        <v>5831</v>
      </c>
      <c r="I27" s="8">
        <f t="shared" si="2"/>
        <v>1.4508765843573803</v>
      </c>
    </row>
    <row r="28" spans="1:9" x14ac:dyDescent="0.25">
      <c r="A28" s="2">
        <v>5823.3</v>
      </c>
      <c r="B28" s="2">
        <v>12.18</v>
      </c>
      <c r="C28" s="2">
        <f t="shared" si="0"/>
        <v>1.422451288881222</v>
      </c>
      <c r="E28" s="8"/>
      <c r="F28" s="8"/>
      <c r="H28" s="8">
        <v>5832</v>
      </c>
      <c r="I28" s="8">
        <f t="shared" si="2"/>
        <v>1.422451288881222</v>
      </c>
    </row>
    <row r="29" spans="1:9" x14ac:dyDescent="0.25">
      <c r="A29" s="2">
        <v>5824.6</v>
      </c>
      <c r="B29" s="2">
        <v>12.999000000000001</v>
      </c>
      <c r="C29" s="2">
        <f t="shared" si="0"/>
        <v>1.3952912340100248</v>
      </c>
      <c r="E29" s="8"/>
      <c r="F29" s="8"/>
      <c r="H29" s="8">
        <v>5832.9</v>
      </c>
      <c r="I29" s="8">
        <f t="shared" si="2"/>
        <v>1.3952912340100248</v>
      </c>
    </row>
    <row r="30" spans="1:9" x14ac:dyDescent="0.25">
      <c r="A30" s="2">
        <v>5826.2</v>
      </c>
      <c r="B30" s="2">
        <v>13.837</v>
      </c>
      <c r="C30" s="2">
        <f t="shared" si="0"/>
        <v>1.3692845266340175</v>
      </c>
      <c r="E30" s="8"/>
      <c r="F30" s="8"/>
      <c r="H30" s="8">
        <v>5834</v>
      </c>
      <c r="I30" s="8">
        <f t="shared" si="2"/>
        <v>1.3692845266340175</v>
      </c>
    </row>
    <row r="31" spans="1:9" x14ac:dyDescent="0.25">
      <c r="A31" s="2">
        <v>5827.5</v>
      </c>
      <c r="B31" s="2">
        <v>14.696999999999999</v>
      </c>
      <c r="C31" s="2">
        <f t="shared" si="0"/>
        <v>1.3442495818554145</v>
      </c>
      <c r="E31" s="8"/>
      <c r="F31" s="8"/>
      <c r="H31" s="8">
        <v>5834.9</v>
      </c>
      <c r="I31" s="8">
        <f t="shared" si="2"/>
        <v>1.3442495818554145</v>
      </c>
    </row>
    <row r="32" spans="1:9" x14ac:dyDescent="0.25">
      <c r="A32" s="2">
        <v>5828.7</v>
      </c>
      <c r="B32" s="2">
        <v>15.577</v>
      </c>
      <c r="C32" s="2">
        <f t="shared" si="0"/>
        <v>1.320169897180907</v>
      </c>
      <c r="E32" s="8"/>
      <c r="F32" s="8"/>
      <c r="H32" s="8">
        <v>5835.8</v>
      </c>
      <c r="I32" s="8">
        <f t="shared" si="2"/>
        <v>1.320169897180907</v>
      </c>
    </row>
    <row r="33" spans="1:9" x14ac:dyDescent="0.25">
      <c r="A33" s="2">
        <v>5830.1</v>
      </c>
      <c r="B33" s="2">
        <v>16.478000000000002</v>
      </c>
      <c r="C33" s="2">
        <f t="shared" si="0"/>
        <v>1.296949422769319</v>
      </c>
      <c r="E33" s="8"/>
      <c r="F33" s="8"/>
      <c r="H33" s="8">
        <v>5836.7</v>
      </c>
      <c r="I33" s="8">
        <f t="shared" si="2"/>
        <v>1.296949422769319</v>
      </c>
    </row>
    <row r="34" spans="1:9" x14ac:dyDescent="0.25">
      <c r="A34" s="2">
        <v>5831</v>
      </c>
      <c r="B34" s="2">
        <v>17.401</v>
      </c>
      <c r="C34" s="2">
        <f t="shared" si="0"/>
        <v>1.27450579455057</v>
      </c>
      <c r="E34" s="8"/>
      <c r="F34" s="8"/>
      <c r="H34" s="8">
        <v>5837.1</v>
      </c>
      <c r="I34" s="8">
        <f t="shared" si="2"/>
        <v>1.27450579455057</v>
      </c>
    </row>
    <row r="35" spans="1:9" x14ac:dyDescent="0.25">
      <c r="A35" s="2">
        <v>5832</v>
      </c>
      <c r="B35" s="2">
        <v>18.347000000000001</v>
      </c>
      <c r="C35" s="2">
        <f t="shared" si="0"/>
        <v>1.2527679916731174</v>
      </c>
      <c r="E35" s="8"/>
      <c r="F35" s="8"/>
      <c r="H35" s="8"/>
      <c r="I35" s="8"/>
    </row>
    <row r="36" spans="1:9" x14ac:dyDescent="0.25">
      <c r="A36" s="2">
        <v>5832.9</v>
      </c>
      <c r="B36" s="2">
        <v>19.315000000000001</v>
      </c>
      <c r="C36" s="2">
        <f t="shared" si="0"/>
        <v>1.2317168004019261</v>
      </c>
      <c r="E36" s="8"/>
      <c r="F36" s="8"/>
      <c r="H36" s="8"/>
      <c r="I36" s="8"/>
    </row>
    <row r="37" spans="1:9" x14ac:dyDescent="0.25">
      <c r="A37" s="2">
        <v>5834</v>
      </c>
      <c r="B37" s="2">
        <v>20.306999999999999</v>
      </c>
      <c r="C37" s="2">
        <f t="shared" si="0"/>
        <v>1.2112720087169395</v>
      </c>
      <c r="E37" s="8"/>
      <c r="F37" s="8"/>
      <c r="H37" s="8"/>
      <c r="I37" s="8"/>
    </row>
    <row r="38" spans="1:9" x14ac:dyDescent="0.25">
      <c r="A38" s="2">
        <v>5834.9</v>
      </c>
      <c r="B38" s="2">
        <v>21.323</v>
      </c>
      <c r="C38" s="2">
        <f t="shared" si="0"/>
        <v>1.191403278159934</v>
      </c>
      <c r="E38" s="8"/>
      <c r="F38" s="8"/>
      <c r="H38" s="8"/>
      <c r="I38" s="8"/>
    </row>
    <row r="39" spans="1:9" x14ac:dyDescent="0.25">
      <c r="A39" s="2">
        <v>5835.8</v>
      </c>
      <c r="B39" s="2">
        <v>22.364000000000001</v>
      </c>
      <c r="C39" s="2">
        <f t="shared" si="0"/>
        <v>1.1720644934747499</v>
      </c>
      <c r="E39" s="8"/>
      <c r="F39" s="8"/>
      <c r="H39" s="8"/>
      <c r="I39" s="8"/>
    </row>
    <row r="40" spans="1:9" x14ac:dyDescent="0.25">
      <c r="A40" s="2">
        <v>5836.7</v>
      </c>
      <c r="B40" s="2">
        <v>23.43</v>
      </c>
      <c r="C40" s="2">
        <f t="shared" si="0"/>
        <v>1.1532323838245737</v>
      </c>
      <c r="E40" s="8"/>
      <c r="F40" s="8"/>
      <c r="H40" s="8"/>
      <c r="I40" s="8"/>
    </row>
    <row r="41" spans="1:9" x14ac:dyDescent="0.25">
      <c r="A41" s="2">
        <v>5837.1</v>
      </c>
      <c r="B41" s="2">
        <v>24</v>
      </c>
      <c r="C41" s="2">
        <f t="shared" si="0"/>
        <v>1.1435352250999584</v>
      </c>
      <c r="E41" s="8"/>
      <c r="F41" s="8"/>
      <c r="H41" s="8"/>
      <c r="I41" s="8"/>
    </row>
    <row r="42" spans="1:9" x14ac:dyDescent="0.25">
      <c r="A42" s="2"/>
      <c r="B42" s="2"/>
      <c r="C42" s="2"/>
      <c r="E42" s="8"/>
      <c r="F42" s="8"/>
      <c r="H42" s="8"/>
      <c r="I42" s="8"/>
    </row>
    <row r="43" spans="1:9" x14ac:dyDescent="0.25">
      <c r="A43" s="2"/>
      <c r="B43" s="2"/>
      <c r="C43" s="2"/>
      <c r="E43" s="8"/>
      <c r="F43" s="8"/>
      <c r="H43" s="8"/>
      <c r="I43" s="8"/>
    </row>
    <row r="44" spans="1:9" x14ac:dyDescent="0.25">
      <c r="A44" s="2"/>
      <c r="B44" s="2"/>
      <c r="C44" s="2"/>
      <c r="E44" s="8"/>
      <c r="F44" s="8"/>
      <c r="H44" s="8"/>
      <c r="I44" s="8"/>
    </row>
    <row r="45" spans="1:9" x14ac:dyDescent="0.25">
      <c r="A45" s="2"/>
      <c r="B45" s="2"/>
      <c r="C45" s="2"/>
      <c r="E45" s="8"/>
      <c r="F45" s="8"/>
      <c r="H45" s="8"/>
      <c r="I45" s="8"/>
    </row>
    <row r="46" spans="1:9" x14ac:dyDescent="0.25">
      <c r="A46" s="2"/>
      <c r="B46" s="2"/>
      <c r="C46" s="2"/>
      <c r="E46" s="8"/>
      <c r="F46" s="8"/>
      <c r="H46" s="8"/>
      <c r="I46" s="8"/>
    </row>
    <row r="47" spans="1:9" x14ac:dyDescent="0.25">
      <c r="A47" s="2"/>
      <c r="B47" s="2"/>
      <c r="C47" s="2"/>
      <c r="E47" s="8"/>
      <c r="F47" s="8"/>
      <c r="H47" s="8"/>
      <c r="I47" s="8"/>
    </row>
    <row r="48" spans="1:9" x14ac:dyDescent="0.25">
      <c r="A48" s="2"/>
      <c r="B48" s="2"/>
      <c r="C48" s="2"/>
      <c r="E48" s="8"/>
      <c r="F48" s="8"/>
      <c r="H48" s="8"/>
      <c r="I48" s="8"/>
    </row>
    <row r="49" spans="1:9" x14ac:dyDescent="0.25">
      <c r="A49" s="2"/>
      <c r="B49" s="2"/>
      <c r="C49" s="2"/>
      <c r="E49" s="8"/>
      <c r="F49" s="8"/>
      <c r="H49" s="8"/>
      <c r="I49" s="8"/>
    </row>
    <row r="50" spans="1:9" x14ac:dyDescent="0.25">
      <c r="A50" s="2"/>
      <c r="B50" s="2"/>
      <c r="C50" s="2"/>
      <c r="E50" s="8"/>
      <c r="F50" s="8"/>
      <c r="H50" s="8"/>
      <c r="I50" s="8"/>
    </row>
    <row r="51" spans="1:9" x14ac:dyDescent="0.25">
      <c r="A51" s="2"/>
      <c r="B51" s="2"/>
      <c r="C51" s="2"/>
      <c r="E51" s="8"/>
      <c r="F51" s="8"/>
      <c r="H51" s="8"/>
      <c r="I51" s="8"/>
    </row>
    <row r="52" spans="1:9" x14ac:dyDescent="0.25">
      <c r="A52" s="2"/>
      <c r="B52" s="2"/>
      <c r="C52" s="2"/>
    </row>
    <row r="53" spans="1:9" x14ac:dyDescent="0.25">
      <c r="A53" s="2"/>
      <c r="B53" s="2"/>
      <c r="C53" s="2"/>
    </row>
    <row r="54" spans="1:9" x14ac:dyDescent="0.25">
      <c r="A54" s="2"/>
      <c r="B54" s="2"/>
      <c r="C54" s="2"/>
    </row>
    <row r="55" spans="1:9" x14ac:dyDescent="0.25">
      <c r="A55" s="2"/>
      <c r="B55" s="2"/>
      <c r="C55" s="2"/>
    </row>
    <row r="56" spans="1:9" x14ac:dyDescent="0.25">
      <c r="A56" s="2"/>
      <c r="B56" s="2"/>
      <c r="C56" s="2"/>
    </row>
    <row r="57" spans="1:9" x14ac:dyDescent="0.25">
      <c r="A57" s="2"/>
      <c r="B57" s="2"/>
      <c r="C57" s="2"/>
    </row>
    <row r="58" spans="1:9" x14ac:dyDescent="0.25">
      <c r="A58" s="2"/>
      <c r="B58" s="2"/>
      <c r="C58" s="2"/>
    </row>
    <row r="59" spans="1:9" x14ac:dyDescent="0.25">
      <c r="A59" s="2"/>
      <c r="B59" s="2"/>
      <c r="C59" s="2"/>
    </row>
    <row r="60" spans="1:9" x14ac:dyDescent="0.25">
      <c r="A60" s="2"/>
      <c r="B60" s="2"/>
      <c r="C60" s="2"/>
    </row>
    <row r="61" spans="1:9" x14ac:dyDescent="0.25">
      <c r="A61" s="2"/>
      <c r="B61" s="2"/>
      <c r="C61" s="2"/>
    </row>
    <row r="62" spans="1:9" x14ac:dyDescent="0.25">
      <c r="A62" s="2"/>
      <c r="B62" s="2"/>
      <c r="C62" s="2"/>
    </row>
    <row r="63" spans="1:9" x14ac:dyDescent="0.25">
      <c r="A63" s="2"/>
      <c r="B63" s="2"/>
      <c r="C63" s="2"/>
    </row>
    <row r="64" spans="1:9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sheetProtection sheet="1" objects="1" scenarios="1" insertColumns="0" insertRows="0" selectLockedCells="1"/>
  <mergeCells count="3">
    <mergeCell ref="E1:F1"/>
    <mergeCell ref="H1:I1"/>
    <mergeCell ref="K1:L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onstant_rate_calculation">
                <anchor moveWithCells="1" sizeWithCells="1">
                  <from>
                    <xdr:col>10</xdr:col>
                    <xdr:colOff>9525</xdr:colOff>
                    <xdr:row>16</xdr:row>
                    <xdr:rowOff>123825</xdr:rowOff>
                  </from>
                  <to>
                    <xdr:col>11</xdr:col>
                    <xdr:colOff>76200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62507-8047-46ED-97B6-61B7EA9EEF1C}">
  <sheetPr codeName="Sheet1"/>
  <dimension ref="A1:O101"/>
  <sheetViews>
    <sheetView workbookViewId="0">
      <pane ySplit="1" topLeftCell="A2" activePane="bottomLeft" state="frozenSplit"/>
      <selection pane="bottomLeft" activeCell="L3" sqref="L3"/>
    </sheetView>
  </sheetViews>
  <sheetFormatPr defaultRowHeight="15" x14ac:dyDescent="0.25"/>
  <cols>
    <col min="3" max="3" width="11.85546875" bestFit="1" customWidth="1"/>
    <col min="6" max="6" width="16.42578125" bestFit="1" customWidth="1"/>
    <col min="8" max="8" width="12" customWidth="1"/>
    <col min="9" max="9" width="16.42578125" bestFit="1" customWidth="1"/>
    <col min="11" max="11" width="25.5703125" bestFit="1" customWidth="1"/>
    <col min="12" max="12" width="13.42578125" customWidth="1"/>
    <col min="14" max="14" width="23.140625" bestFit="1" customWidth="1"/>
    <col min="15" max="15" width="13.42578125" customWidth="1"/>
  </cols>
  <sheetData>
    <row r="1" spans="1:15" ht="17.25" thickTop="1" thickBot="1" x14ac:dyDescent="0.3">
      <c r="A1" s="1" t="s">
        <v>26</v>
      </c>
      <c r="B1" s="1" t="s">
        <v>25</v>
      </c>
      <c r="C1" s="4" t="s">
        <v>27</v>
      </c>
      <c r="E1" s="12" t="s">
        <v>3</v>
      </c>
      <c r="F1" s="12"/>
      <c r="H1" s="15" t="s">
        <v>4</v>
      </c>
      <c r="I1" s="15"/>
      <c r="K1" s="14" t="s">
        <v>6</v>
      </c>
      <c r="L1" s="14"/>
      <c r="N1" s="14" t="s">
        <v>15</v>
      </c>
      <c r="O1" s="14"/>
    </row>
    <row r="2" spans="1:15" ht="15.75" thickTop="1" x14ac:dyDescent="0.25">
      <c r="A2" s="2">
        <v>2962.4</v>
      </c>
      <c r="B2" s="2">
        <v>0</v>
      </c>
      <c r="C2" s="2" t="e">
        <f>LOG10((310+($B2))/($B2))</f>
        <v>#DIV/0!</v>
      </c>
      <c r="E2" s="4" t="s">
        <v>26</v>
      </c>
      <c r="F2" s="4" t="s">
        <v>28</v>
      </c>
      <c r="H2" s="6" t="s">
        <v>26</v>
      </c>
      <c r="I2" s="9" t="s">
        <v>28</v>
      </c>
      <c r="K2" s="7" t="s">
        <v>7</v>
      </c>
      <c r="L2" s="10">
        <v>350</v>
      </c>
      <c r="N2" s="7" t="s">
        <v>16</v>
      </c>
      <c r="O2" s="5">
        <v>1163.25</v>
      </c>
    </row>
    <row r="3" spans="1:15" x14ac:dyDescent="0.25">
      <c r="A3" s="2">
        <v>3129.2</v>
      </c>
      <c r="B3" s="2">
        <v>0.02</v>
      </c>
      <c r="C3" s="2">
        <f t="shared" ref="C3:C41" si="0">LOG10((310+($B3))/($B3))</f>
        <v>4.1903597162653243</v>
      </c>
      <c r="E3" s="8">
        <v>3688</v>
      </c>
      <c r="F3" s="8">
        <f t="shared" ref="F3:F6" si="1">LOG10((310+($B3))/($B3))</f>
        <v>4.1903597162653243</v>
      </c>
      <c r="H3" s="8">
        <v>5244.3</v>
      </c>
      <c r="I3" s="8">
        <f t="shared" ref="I3:I34" si="2">LOG10((310+($B3))/($B3))</f>
        <v>4.1903597162653243</v>
      </c>
      <c r="K3" s="7" t="s">
        <v>8</v>
      </c>
      <c r="L3" s="11">
        <v>1.23</v>
      </c>
      <c r="N3" s="7" t="s">
        <v>17</v>
      </c>
      <c r="O3" s="5">
        <v>133.63999999999999</v>
      </c>
    </row>
    <row r="4" spans="1:15" x14ac:dyDescent="0.25">
      <c r="A4" s="2">
        <v>3357.5</v>
      </c>
      <c r="B4" s="2">
        <v>0.05</v>
      </c>
      <c r="C4" s="2">
        <f t="shared" si="0"/>
        <v>3.7924617313469509</v>
      </c>
      <c r="E4" s="8">
        <v>3967</v>
      </c>
      <c r="F4" s="8">
        <f t="shared" si="1"/>
        <v>3.7924617313469509</v>
      </c>
      <c r="H4" s="8">
        <v>5431.2</v>
      </c>
      <c r="I4" s="8">
        <f t="shared" si="2"/>
        <v>3.7924617313469509</v>
      </c>
      <c r="K4" s="7" t="s">
        <v>9</v>
      </c>
      <c r="L4" s="11">
        <v>0.8</v>
      </c>
      <c r="N4" s="7" t="s">
        <v>18</v>
      </c>
      <c r="O4" s="5">
        <v>1.2</v>
      </c>
    </row>
    <row r="5" spans="1:15" x14ac:dyDescent="0.25">
      <c r="A5" s="2">
        <v>3688</v>
      </c>
      <c r="B5" s="2">
        <v>0.1</v>
      </c>
      <c r="C5" s="2">
        <f t="shared" si="0"/>
        <v>3.4915017662373264</v>
      </c>
      <c r="E5" s="8">
        <v>4403.8999999999996</v>
      </c>
      <c r="F5" s="8">
        <f t="shared" si="1"/>
        <v>3.4915017662373264</v>
      </c>
      <c r="H5" s="8">
        <v>5616.9</v>
      </c>
      <c r="I5" s="8">
        <f t="shared" si="2"/>
        <v>3.4915017662373264</v>
      </c>
      <c r="K5" s="7" t="s">
        <v>10</v>
      </c>
      <c r="L5" s="8">
        <v>40</v>
      </c>
      <c r="N5" s="7" t="s">
        <v>19</v>
      </c>
      <c r="O5" s="5">
        <v>8493.8700000000008</v>
      </c>
    </row>
    <row r="6" spans="1:15" x14ac:dyDescent="0.25">
      <c r="A6" s="2">
        <v>3967</v>
      </c>
      <c r="B6" s="2">
        <v>0.15</v>
      </c>
      <c r="C6" s="2">
        <f t="shared" si="0"/>
        <v>3.3154805264453038</v>
      </c>
      <c r="E6" s="8">
        <v>4712.3</v>
      </c>
      <c r="F6" s="8">
        <f t="shared" si="1"/>
        <v>3.3154805264453038</v>
      </c>
      <c r="H6" s="8">
        <v>5687</v>
      </c>
      <c r="I6" s="8">
        <f t="shared" si="2"/>
        <v>3.3154805264453038</v>
      </c>
      <c r="K6" s="7" t="s">
        <v>11</v>
      </c>
      <c r="L6" s="11">
        <v>0.25</v>
      </c>
      <c r="N6" s="7" t="s">
        <v>20</v>
      </c>
      <c r="O6" s="5">
        <v>0.92122015149625402</v>
      </c>
    </row>
    <row r="7" spans="1:15" x14ac:dyDescent="0.25">
      <c r="A7" s="2">
        <v>4403.8999999999996</v>
      </c>
      <c r="B7" s="2">
        <v>0.25</v>
      </c>
      <c r="C7" s="2">
        <f t="shared" si="0"/>
        <v>3.09377178149873</v>
      </c>
      <c r="E7" s="8"/>
      <c r="F7" s="8"/>
      <c r="H7" s="8">
        <v>5723.2</v>
      </c>
      <c r="I7" s="8">
        <f t="shared" si="2"/>
        <v>3.09377178149873</v>
      </c>
      <c r="K7" s="7" t="s">
        <v>12</v>
      </c>
      <c r="L7" s="2">
        <v>3.5999999999999998E-6</v>
      </c>
      <c r="N7" s="7" t="s">
        <v>21</v>
      </c>
      <c r="O7" s="5">
        <v>932.30012686837517</v>
      </c>
    </row>
    <row r="8" spans="1:15" x14ac:dyDescent="0.25">
      <c r="A8" s="2">
        <v>4712.3</v>
      </c>
      <c r="B8" s="2">
        <v>0.34799999999999998</v>
      </c>
      <c r="C8" s="2">
        <f t="shared" si="0"/>
        <v>2.9502697070258015</v>
      </c>
      <c r="E8" s="8"/>
      <c r="F8" s="8"/>
      <c r="H8" s="8">
        <v>5745.8</v>
      </c>
      <c r="I8" s="8">
        <f t="shared" si="2"/>
        <v>2.9502697070258015</v>
      </c>
      <c r="K8" s="7" t="s">
        <v>13</v>
      </c>
      <c r="L8" s="11">
        <v>0.33</v>
      </c>
      <c r="N8" s="7" t="s">
        <v>30</v>
      </c>
      <c r="O8" s="5">
        <v>8493.8700000000008</v>
      </c>
    </row>
    <row r="9" spans="1:15" x14ac:dyDescent="0.25">
      <c r="A9" s="2">
        <v>5039.8</v>
      </c>
      <c r="B9" s="2">
        <v>0.5</v>
      </c>
      <c r="C9" s="2">
        <f t="shared" si="0"/>
        <v>2.79309160017658</v>
      </c>
      <c r="E9" s="8"/>
      <c r="F9" s="8"/>
      <c r="H9" s="8">
        <v>5761.8</v>
      </c>
      <c r="I9" s="8">
        <f t="shared" si="2"/>
        <v>2.79309160017658</v>
      </c>
      <c r="K9" s="7" t="s">
        <v>29</v>
      </c>
      <c r="L9" s="10">
        <v>2962.4</v>
      </c>
      <c r="N9" s="7" t="s">
        <v>23</v>
      </c>
      <c r="O9" s="5">
        <v>0.48171046216343927</v>
      </c>
    </row>
    <row r="10" spans="1:15" x14ac:dyDescent="0.25">
      <c r="A10" s="2">
        <v>5244.3</v>
      </c>
      <c r="B10" s="2">
        <v>0.65</v>
      </c>
      <c r="C10" s="2">
        <f t="shared" si="0"/>
        <v>2.6793580013062783</v>
      </c>
      <c r="E10" s="8"/>
      <c r="F10" s="8"/>
      <c r="H10" s="8">
        <v>5775</v>
      </c>
      <c r="I10" s="8">
        <f t="shared" si="2"/>
        <v>2.6793580013062783</v>
      </c>
      <c r="N10" s="7" t="s">
        <v>24</v>
      </c>
      <c r="O10" s="5">
        <v>0.37668823950711289</v>
      </c>
    </row>
    <row r="11" spans="1:15" x14ac:dyDescent="0.25">
      <c r="A11" s="2">
        <v>5431.2</v>
      </c>
      <c r="B11" s="2">
        <v>0.88</v>
      </c>
      <c r="C11" s="2">
        <f t="shared" si="0"/>
        <v>2.5481101111055389</v>
      </c>
      <c r="E11" s="8"/>
      <c r="F11" s="8"/>
      <c r="H11" s="8">
        <v>5784.9</v>
      </c>
      <c r="I11" s="8">
        <f t="shared" si="2"/>
        <v>2.5481101111055389</v>
      </c>
    </row>
    <row r="12" spans="1:15" x14ac:dyDescent="0.25">
      <c r="A12" s="2">
        <v>5616.9</v>
      </c>
      <c r="B12" s="2">
        <v>1.425</v>
      </c>
      <c r="C12" s="2">
        <f t="shared" si="0"/>
        <v>2.3395386087759551</v>
      </c>
      <c r="E12" s="8"/>
      <c r="F12" s="8"/>
      <c r="H12" s="8">
        <v>5792.3</v>
      </c>
      <c r="I12" s="8">
        <f t="shared" si="2"/>
        <v>2.3395386087759551</v>
      </c>
    </row>
    <row r="13" spans="1:15" x14ac:dyDescent="0.25">
      <c r="A13" s="2">
        <v>5687</v>
      </c>
      <c r="B13" s="2">
        <v>1.9830000000000001</v>
      </c>
      <c r="C13" s="2">
        <f t="shared" si="0"/>
        <v>2.196808215687053</v>
      </c>
      <c r="E13" s="8"/>
      <c r="F13" s="8"/>
      <c r="H13" s="8">
        <v>5799.9</v>
      </c>
      <c r="I13" s="8">
        <f t="shared" si="2"/>
        <v>2.196808215687053</v>
      </c>
    </row>
    <row r="14" spans="1:15" x14ac:dyDescent="0.25">
      <c r="A14" s="2">
        <v>5723.2</v>
      </c>
      <c r="B14" s="2">
        <v>2.5550000000000002</v>
      </c>
      <c r="C14" s="2">
        <f t="shared" si="0"/>
        <v>2.0875355463126137</v>
      </c>
      <c r="E14" s="8"/>
      <c r="F14" s="8"/>
      <c r="H14" s="8">
        <v>5804.8</v>
      </c>
      <c r="I14" s="8">
        <f t="shared" si="2"/>
        <v>2.0875355463126137</v>
      </c>
    </row>
    <row r="15" spans="1:15" x14ac:dyDescent="0.25">
      <c r="A15" s="2">
        <v>5745.8</v>
      </c>
      <c r="B15" s="2">
        <v>3.14</v>
      </c>
      <c r="C15" s="2">
        <f t="shared" si="0"/>
        <v>1.998808899165889</v>
      </c>
      <c r="E15" s="8"/>
      <c r="F15" s="8"/>
      <c r="H15" s="8">
        <v>5809.4</v>
      </c>
      <c r="I15" s="8">
        <f t="shared" si="2"/>
        <v>1.998808899165889</v>
      </c>
    </row>
    <row r="16" spans="1:15" x14ac:dyDescent="0.25">
      <c r="A16" s="2">
        <v>5761.8</v>
      </c>
      <c r="B16" s="2">
        <v>3.74</v>
      </c>
      <c r="C16" s="2">
        <f t="shared" si="0"/>
        <v>1.923698290012819</v>
      </c>
      <c r="E16" s="8"/>
      <c r="F16" s="8"/>
      <c r="H16" s="8">
        <v>5813.4</v>
      </c>
      <c r="I16" s="8">
        <f t="shared" si="2"/>
        <v>1.923698290012819</v>
      </c>
    </row>
    <row r="17" spans="1:9" x14ac:dyDescent="0.25">
      <c r="A17" s="2">
        <v>5775</v>
      </c>
      <c r="B17" s="2">
        <v>4.3550000000000004</v>
      </c>
      <c r="C17" s="2">
        <f t="shared" si="0"/>
        <v>1.8584322131050188</v>
      </c>
      <c r="E17" s="8"/>
      <c r="F17" s="8"/>
      <c r="H17" s="8">
        <v>5815.8</v>
      </c>
      <c r="I17" s="8">
        <f t="shared" si="2"/>
        <v>1.8584322131050188</v>
      </c>
    </row>
    <row r="18" spans="1:9" ht="15.75" x14ac:dyDescent="0.25">
      <c r="A18" s="2">
        <v>5784.9</v>
      </c>
      <c r="B18" s="2">
        <v>4.984</v>
      </c>
      <c r="C18" s="2">
        <f t="shared" si="0"/>
        <v>1.800710460175974</v>
      </c>
      <c r="D18" s="3"/>
      <c r="E18" s="8"/>
      <c r="F18" s="8"/>
      <c r="H18" s="8">
        <v>5818</v>
      </c>
      <c r="I18" s="8">
        <f t="shared" si="2"/>
        <v>1.800710460175974</v>
      </c>
    </row>
    <row r="19" spans="1:9" x14ac:dyDescent="0.25">
      <c r="A19" s="2">
        <v>5792.3</v>
      </c>
      <c r="B19" s="2">
        <v>5.6280000000000001</v>
      </c>
      <c r="C19" s="2">
        <f t="shared" si="0"/>
        <v>1.7488214346279614</v>
      </c>
      <c r="E19" s="8"/>
      <c r="F19" s="8"/>
      <c r="H19" s="8">
        <v>5820</v>
      </c>
      <c r="I19" s="8">
        <f t="shared" si="2"/>
        <v>1.7488214346279614</v>
      </c>
    </row>
    <row r="20" spans="1:9" x14ac:dyDescent="0.25">
      <c r="A20" s="2">
        <v>5799.9</v>
      </c>
      <c r="B20" s="2">
        <v>6.2889999999999997</v>
      </c>
      <c r="C20" s="2">
        <f t="shared" si="0"/>
        <v>1.7015024934174245</v>
      </c>
      <c r="E20" s="8"/>
      <c r="F20" s="8"/>
      <c r="H20" s="8">
        <v>5821.7</v>
      </c>
      <c r="I20" s="8">
        <f t="shared" si="2"/>
        <v>1.7015024934174245</v>
      </c>
    </row>
    <row r="21" spans="1:9" x14ac:dyDescent="0.25">
      <c r="A21" s="2">
        <v>5804.8</v>
      </c>
      <c r="B21" s="2">
        <v>6.9649999999999999</v>
      </c>
      <c r="C21" s="2">
        <f t="shared" si="0"/>
        <v>1.6580901883156176</v>
      </c>
      <c r="E21" s="8"/>
      <c r="F21" s="8"/>
      <c r="H21" s="8">
        <v>5823.3</v>
      </c>
      <c r="I21" s="8">
        <f t="shared" si="2"/>
        <v>1.6580901883156176</v>
      </c>
    </row>
    <row r="22" spans="1:9" x14ac:dyDescent="0.25">
      <c r="A22" s="2">
        <v>5809.4</v>
      </c>
      <c r="B22" s="2">
        <v>7.657</v>
      </c>
      <c r="C22" s="2">
        <f t="shared" si="0"/>
        <v>1.6178997829468595</v>
      </c>
      <c r="E22" s="8"/>
      <c r="F22" s="8"/>
      <c r="H22" s="8">
        <v>5824.6</v>
      </c>
      <c r="I22" s="8">
        <f t="shared" si="2"/>
        <v>1.6178997829468595</v>
      </c>
    </row>
    <row r="23" spans="1:9" x14ac:dyDescent="0.25">
      <c r="A23" s="2">
        <v>5813.4</v>
      </c>
      <c r="B23" s="2">
        <v>8.3670000000000009</v>
      </c>
      <c r="C23" s="2">
        <f t="shared" si="0"/>
        <v>1.5803582760703501</v>
      </c>
      <c r="E23" s="8"/>
      <c r="F23" s="8"/>
      <c r="H23" s="8">
        <v>5826.2</v>
      </c>
      <c r="I23" s="8">
        <f t="shared" si="2"/>
        <v>1.5803582760703501</v>
      </c>
    </row>
    <row r="24" spans="1:9" x14ac:dyDescent="0.25">
      <c r="A24" s="2">
        <v>5815.8</v>
      </c>
      <c r="B24" s="2">
        <v>9.093</v>
      </c>
      <c r="C24" s="2">
        <f t="shared" si="0"/>
        <v>1.545210086015288</v>
      </c>
      <c r="E24" s="8"/>
      <c r="F24" s="8"/>
      <c r="H24" s="8">
        <v>5827.5</v>
      </c>
      <c r="I24" s="8">
        <f t="shared" si="2"/>
        <v>1.545210086015288</v>
      </c>
    </row>
    <row r="25" spans="1:9" x14ac:dyDescent="0.25">
      <c r="A25" s="2">
        <v>5818</v>
      </c>
      <c r="B25" s="2">
        <v>9.8369999999999997</v>
      </c>
      <c r="C25" s="2">
        <f t="shared" si="0"/>
        <v>1.5120660318183681</v>
      </c>
      <c r="E25" s="8"/>
      <c r="F25" s="8"/>
      <c r="H25" s="8">
        <v>5828.7</v>
      </c>
      <c r="I25" s="8">
        <f t="shared" si="2"/>
        <v>1.5120660318183681</v>
      </c>
    </row>
    <row r="26" spans="1:9" x14ac:dyDescent="0.25">
      <c r="A26" s="2">
        <v>5820</v>
      </c>
      <c r="B26" s="2">
        <v>10.599</v>
      </c>
      <c r="C26" s="2">
        <f t="shared" si="0"/>
        <v>1.4806972712311812</v>
      </c>
      <c r="E26" s="8"/>
      <c r="F26" s="8"/>
      <c r="H26" s="8">
        <v>5830.1</v>
      </c>
      <c r="I26" s="8">
        <f t="shared" si="2"/>
        <v>1.4806972712311812</v>
      </c>
    </row>
    <row r="27" spans="1:9" x14ac:dyDescent="0.25">
      <c r="A27" s="2">
        <v>5821.7</v>
      </c>
      <c r="B27" s="2">
        <v>11.38</v>
      </c>
      <c r="C27" s="2">
        <f t="shared" si="0"/>
        <v>1.4508765843573803</v>
      </c>
      <c r="E27" s="8"/>
      <c r="F27" s="8"/>
      <c r="H27" s="8">
        <v>5831</v>
      </c>
      <c r="I27" s="8">
        <f t="shared" si="2"/>
        <v>1.4508765843573803</v>
      </c>
    </row>
    <row r="28" spans="1:9" x14ac:dyDescent="0.25">
      <c r="A28" s="2">
        <v>5823.3</v>
      </c>
      <c r="B28" s="2">
        <v>12.18</v>
      </c>
      <c r="C28" s="2">
        <f t="shared" si="0"/>
        <v>1.422451288881222</v>
      </c>
      <c r="E28" s="8"/>
      <c r="F28" s="8"/>
      <c r="H28" s="8">
        <v>5832</v>
      </c>
      <c r="I28" s="8">
        <f t="shared" si="2"/>
        <v>1.422451288881222</v>
      </c>
    </row>
    <row r="29" spans="1:9" x14ac:dyDescent="0.25">
      <c r="A29" s="2">
        <v>5824.6</v>
      </c>
      <c r="B29" s="2">
        <v>12.999000000000001</v>
      </c>
      <c r="C29" s="2">
        <f t="shared" si="0"/>
        <v>1.3952912340100248</v>
      </c>
      <c r="E29" s="8"/>
      <c r="F29" s="8"/>
      <c r="H29" s="8">
        <v>5832.9</v>
      </c>
      <c r="I29" s="8">
        <f t="shared" si="2"/>
        <v>1.3952912340100248</v>
      </c>
    </row>
    <row r="30" spans="1:9" x14ac:dyDescent="0.25">
      <c r="A30" s="2">
        <v>5826.2</v>
      </c>
      <c r="B30" s="2">
        <v>13.837</v>
      </c>
      <c r="C30" s="2">
        <f t="shared" si="0"/>
        <v>1.3692845266340175</v>
      </c>
      <c r="E30" s="8"/>
      <c r="F30" s="8"/>
      <c r="H30" s="8">
        <v>5834</v>
      </c>
      <c r="I30" s="8">
        <f t="shared" si="2"/>
        <v>1.3692845266340175</v>
      </c>
    </row>
    <row r="31" spans="1:9" x14ac:dyDescent="0.25">
      <c r="A31" s="2">
        <v>5827.5</v>
      </c>
      <c r="B31" s="2">
        <v>14.696999999999999</v>
      </c>
      <c r="C31" s="2">
        <f t="shared" si="0"/>
        <v>1.3442495818554145</v>
      </c>
      <c r="E31" s="8"/>
      <c r="F31" s="8"/>
      <c r="H31" s="8">
        <v>5834.9</v>
      </c>
      <c r="I31" s="8">
        <f t="shared" si="2"/>
        <v>1.3442495818554145</v>
      </c>
    </row>
    <row r="32" spans="1:9" x14ac:dyDescent="0.25">
      <c r="A32" s="2">
        <v>5828.7</v>
      </c>
      <c r="B32" s="2">
        <v>15.577</v>
      </c>
      <c r="C32" s="2">
        <f t="shared" si="0"/>
        <v>1.320169897180907</v>
      </c>
      <c r="E32" s="8"/>
      <c r="F32" s="8"/>
      <c r="H32" s="8">
        <v>5835.8</v>
      </c>
      <c r="I32" s="8">
        <f t="shared" si="2"/>
        <v>1.320169897180907</v>
      </c>
    </row>
    <row r="33" spans="1:9" x14ac:dyDescent="0.25">
      <c r="A33" s="2">
        <v>5830.1</v>
      </c>
      <c r="B33" s="2">
        <v>16.478000000000002</v>
      </c>
      <c r="C33" s="2">
        <f t="shared" si="0"/>
        <v>1.296949422769319</v>
      </c>
      <c r="E33" s="8"/>
      <c r="F33" s="8"/>
      <c r="H33" s="8">
        <v>5836.7</v>
      </c>
      <c r="I33" s="8">
        <f t="shared" si="2"/>
        <v>1.296949422769319</v>
      </c>
    </row>
    <row r="34" spans="1:9" x14ac:dyDescent="0.25">
      <c r="A34" s="2">
        <v>5831</v>
      </c>
      <c r="B34" s="2">
        <v>17.401</v>
      </c>
      <c r="C34" s="2">
        <f t="shared" si="0"/>
        <v>1.27450579455057</v>
      </c>
      <c r="E34" s="8"/>
      <c r="F34" s="8"/>
      <c r="H34" s="8">
        <v>5837.1</v>
      </c>
      <c r="I34" s="8">
        <f t="shared" si="2"/>
        <v>1.27450579455057</v>
      </c>
    </row>
    <row r="35" spans="1:9" x14ac:dyDescent="0.25">
      <c r="A35" s="2">
        <v>5832</v>
      </c>
      <c r="B35" s="2">
        <v>18.347000000000001</v>
      </c>
      <c r="C35" s="2">
        <f t="shared" si="0"/>
        <v>1.2527679916731174</v>
      </c>
      <c r="E35" s="8"/>
      <c r="F35" s="8"/>
      <c r="H35" s="8"/>
      <c r="I35" s="8"/>
    </row>
    <row r="36" spans="1:9" x14ac:dyDescent="0.25">
      <c r="A36" s="2">
        <v>5832.9</v>
      </c>
      <c r="B36" s="2">
        <v>19.315000000000001</v>
      </c>
      <c r="C36" s="2">
        <f t="shared" si="0"/>
        <v>1.2317168004019261</v>
      </c>
      <c r="E36" s="8"/>
      <c r="F36" s="8"/>
      <c r="H36" s="8"/>
      <c r="I36" s="8"/>
    </row>
    <row r="37" spans="1:9" x14ac:dyDescent="0.25">
      <c r="A37" s="2">
        <v>5834</v>
      </c>
      <c r="B37" s="2">
        <v>20.306999999999999</v>
      </c>
      <c r="C37" s="2">
        <f t="shared" si="0"/>
        <v>1.2112720087169395</v>
      </c>
      <c r="E37" s="8"/>
      <c r="F37" s="8"/>
      <c r="H37" s="8"/>
      <c r="I37" s="8"/>
    </row>
    <row r="38" spans="1:9" x14ac:dyDescent="0.25">
      <c r="A38" s="2">
        <v>5834.9</v>
      </c>
      <c r="B38" s="2">
        <v>21.323</v>
      </c>
      <c r="C38" s="2">
        <f t="shared" si="0"/>
        <v>1.191403278159934</v>
      </c>
      <c r="E38" s="8"/>
      <c r="F38" s="8"/>
      <c r="H38" s="8"/>
      <c r="I38" s="8"/>
    </row>
    <row r="39" spans="1:9" x14ac:dyDescent="0.25">
      <c r="A39" s="2">
        <v>5835.8</v>
      </c>
      <c r="B39" s="2">
        <v>22.364000000000001</v>
      </c>
      <c r="C39" s="2">
        <f t="shared" si="0"/>
        <v>1.1720644934747499</v>
      </c>
      <c r="E39" s="8"/>
      <c r="F39" s="8"/>
      <c r="H39" s="8"/>
      <c r="I39" s="8"/>
    </row>
    <row r="40" spans="1:9" x14ac:dyDescent="0.25">
      <c r="A40" s="2">
        <v>5836.7</v>
      </c>
      <c r="B40" s="2">
        <v>23.43</v>
      </c>
      <c r="C40" s="2">
        <f t="shared" si="0"/>
        <v>1.1532323838245737</v>
      </c>
      <c r="E40" s="8"/>
      <c r="F40" s="8"/>
      <c r="H40" s="8"/>
      <c r="I40" s="8"/>
    </row>
    <row r="41" spans="1:9" x14ac:dyDescent="0.25">
      <c r="A41" s="2">
        <v>5837.1</v>
      </c>
      <c r="B41" s="2">
        <v>24</v>
      </c>
      <c r="C41" s="2">
        <f t="shared" si="0"/>
        <v>1.1435352250999584</v>
      </c>
      <c r="E41" s="8"/>
      <c r="F41" s="8"/>
      <c r="H41" s="8"/>
      <c r="I41" s="8"/>
    </row>
    <row r="42" spans="1:9" x14ac:dyDescent="0.25">
      <c r="A42" s="2"/>
      <c r="B42" s="2"/>
      <c r="C42" s="2"/>
      <c r="E42" s="8"/>
      <c r="F42" s="8"/>
      <c r="H42" s="8"/>
      <c r="I42" s="8"/>
    </row>
    <row r="43" spans="1:9" x14ac:dyDescent="0.25">
      <c r="A43" s="2"/>
      <c r="B43" s="2"/>
      <c r="C43" s="2"/>
      <c r="E43" s="8"/>
      <c r="F43" s="8"/>
      <c r="H43" s="8"/>
      <c r="I43" s="8"/>
    </row>
    <row r="44" spans="1:9" x14ac:dyDescent="0.25">
      <c r="A44" s="2"/>
      <c r="B44" s="2"/>
      <c r="C44" s="2"/>
      <c r="E44" s="8"/>
      <c r="F44" s="8"/>
      <c r="H44" s="8"/>
      <c r="I44" s="8"/>
    </row>
    <row r="45" spans="1:9" x14ac:dyDescent="0.25">
      <c r="A45" s="2"/>
      <c r="B45" s="2"/>
      <c r="C45" s="2"/>
      <c r="E45" s="8"/>
      <c r="F45" s="8"/>
      <c r="H45" s="8"/>
      <c r="I45" s="8"/>
    </row>
    <row r="46" spans="1:9" x14ac:dyDescent="0.25">
      <c r="A46" s="2"/>
      <c r="B46" s="2"/>
      <c r="C46" s="2"/>
      <c r="E46" s="8"/>
      <c r="F46" s="8"/>
      <c r="H46" s="8"/>
      <c r="I46" s="8"/>
    </row>
    <row r="47" spans="1:9" x14ac:dyDescent="0.25">
      <c r="A47" s="2"/>
      <c r="B47" s="2"/>
      <c r="C47" s="2"/>
      <c r="E47" s="8"/>
      <c r="F47" s="8"/>
      <c r="H47" s="8"/>
      <c r="I47" s="8"/>
    </row>
    <row r="48" spans="1:9" x14ac:dyDescent="0.25">
      <c r="A48" s="2"/>
      <c r="B48" s="2"/>
      <c r="C48" s="2"/>
      <c r="E48" s="8"/>
      <c r="F48" s="8"/>
      <c r="H48" s="8"/>
      <c r="I48" s="8"/>
    </row>
    <row r="49" spans="1:9" x14ac:dyDescent="0.25">
      <c r="A49" s="2"/>
      <c r="B49" s="2"/>
      <c r="C49" s="2"/>
      <c r="E49" s="8"/>
      <c r="F49" s="8"/>
      <c r="H49" s="8"/>
      <c r="I49" s="8"/>
    </row>
    <row r="50" spans="1:9" x14ac:dyDescent="0.25">
      <c r="A50" s="2"/>
      <c r="B50" s="2"/>
      <c r="C50" s="2"/>
      <c r="E50" s="8"/>
      <c r="F50" s="8"/>
      <c r="H50" s="8"/>
      <c r="I50" s="8"/>
    </row>
    <row r="51" spans="1:9" x14ac:dyDescent="0.25">
      <c r="A51" s="2"/>
      <c r="B51" s="2"/>
      <c r="C51" s="2"/>
      <c r="E51" s="8"/>
      <c r="F51" s="8"/>
      <c r="H51" s="8"/>
      <c r="I51" s="8"/>
    </row>
    <row r="52" spans="1:9" x14ac:dyDescent="0.25">
      <c r="A52" s="2"/>
      <c r="B52" s="2"/>
      <c r="C52" s="2"/>
    </row>
    <row r="53" spans="1:9" x14ac:dyDescent="0.25">
      <c r="A53" s="2"/>
      <c r="B53" s="2"/>
      <c r="C53" s="2"/>
    </row>
    <row r="54" spans="1:9" x14ac:dyDescent="0.25">
      <c r="A54" s="2"/>
      <c r="B54" s="2"/>
      <c r="C54" s="2"/>
    </row>
    <row r="55" spans="1:9" x14ac:dyDescent="0.25">
      <c r="A55" s="2"/>
      <c r="B55" s="2"/>
      <c r="C55" s="2"/>
    </row>
    <row r="56" spans="1:9" x14ac:dyDescent="0.25">
      <c r="A56" s="2"/>
      <c r="B56" s="2"/>
      <c r="C56" s="2"/>
    </row>
    <row r="57" spans="1:9" x14ac:dyDescent="0.25">
      <c r="A57" s="2"/>
      <c r="B57" s="2"/>
      <c r="C57" s="2"/>
    </row>
    <row r="58" spans="1:9" x14ac:dyDescent="0.25">
      <c r="A58" s="2"/>
      <c r="B58" s="2"/>
      <c r="C58" s="2"/>
    </row>
    <row r="59" spans="1:9" x14ac:dyDescent="0.25">
      <c r="A59" s="2"/>
      <c r="B59" s="2"/>
      <c r="C59" s="2"/>
    </row>
    <row r="60" spans="1:9" x14ac:dyDescent="0.25">
      <c r="A60" s="2"/>
      <c r="B60" s="2"/>
      <c r="C60" s="2"/>
    </row>
    <row r="61" spans="1:9" x14ac:dyDescent="0.25">
      <c r="A61" s="2"/>
      <c r="B61" s="2"/>
      <c r="C61" s="2"/>
    </row>
    <row r="62" spans="1:9" x14ac:dyDescent="0.25">
      <c r="A62" s="2"/>
      <c r="B62" s="2"/>
      <c r="C62" s="2"/>
    </row>
    <row r="63" spans="1:9" x14ac:dyDescent="0.25">
      <c r="A63" s="2"/>
      <c r="B63" s="2"/>
      <c r="C63" s="2"/>
    </row>
    <row r="64" spans="1:9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sheetProtection sheet="1" objects="1" scenarios="1" selectLockedCells="1"/>
  <mergeCells count="4">
    <mergeCell ref="E1:F1"/>
    <mergeCell ref="H1:I1"/>
    <mergeCell ref="K1:L1"/>
    <mergeCell ref="N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7" r:id="rId3" name="Button 37">
              <controlPr defaultSize="0" print="0" autoFill="0" autoPict="0" macro="[0]!constant_rate_calculation_buildup">
                <anchor moveWithCells="1" sizeWithCells="1">
                  <from>
                    <xdr:col>10</xdr:col>
                    <xdr:colOff>180975</xdr:colOff>
                    <xdr:row>9</xdr:row>
                    <xdr:rowOff>152400</xdr:rowOff>
                  </from>
                  <to>
                    <xdr:col>10</xdr:col>
                    <xdr:colOff>1323975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" name="Button 38">
              <controlPr defaultSize="0" print="0" autoFill="0" autoPict="0" macro="[0]!Change_graph_buildup">
                <anchor moveWithCells="1" sizeWithCells="1">
                  <from>
                    <xdr:col>10</xdr:col>
                    <xdr:colOff>57150</xdr:colOff>
                    <xdr:row>16</xdr:row>
                    <xdr:rowOff>85725</xdr:rowOff>
                  </from>
                  <to>
                    <xdr:col>10</xdr:col>
                    <xdr:colOff>1333500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8D36E-36D4-4CE1-8ED6-9C3F84A8C50D}">
  <sheetPr codeName="Sheet2"/>
  <dimension ref="A1:B101"/>
  <sheetViews>
    <sheetView tabSelected="1" workbookViewId="0">
      <pane ySplit="1" topLeftCell="A101" activePane="bottomLeft" state="frozenSplit"/>
      <selection pane="bottomLeft" activeCell="A2" sqref="A2"/>
    </sheetView>
  </sheetViews>
  <sheetFormatPr defaultRowHeight="15" x14ac:dyDescent="0.25"/>
  <sheetData>
    <row r="1" spans="1:2" x14ac:dyDescent="0.25">
      <c r="A1" s="1" t="s">
        <v>0</v>
      </c>
      <c r="B1" s="1" t="s">
        <v>31</v>
      </c>
    </row>
    <row r="2" spans="1:2" x14ac:dyDescent="0.25">
      <c r="A2" s="2"/>
      <c r="B2" s="2"/>
    </row>
    <row r="3" spans="1:2" x14ac:dyDescent="0.25">
      <c r="A3" s="2"/>
      <c r="B3" s="2"/>
    </row>
    <row r="4" spans="1:2" x14ac:dyDescent="0.25">
      <c r="A4" s="2"/>
      <c r="B4" s="2"/>
    </row>
    <row r="5" spans="1:2" x14ac:dyDescent="0.25">
      <c r="A5" s="2"/>
      <c r="B5" s="2"/>
    </row>
    <row r="6" spans="1:2" x14ac:dyDescent="0.25">
      <c r="A6" s="2"/>
      <c r="B6" s="2"/>
    </row>
    <row r="7" spans="1:2" x14ac:dyDescent="0.25">
      <c r="A7" s="2"/>
      <c r="B7" s="2"/>
    </row>
    <row r="8" spans="1:2" x14ac:dyDescent="0.25">
      <c r="A8" s="2"/>
      <c r="B8" s="2"/>
    </row>
    <row r="9" spans="1:2" x14ac:dyDescent="0.25">
      <c r="A9" s="2"/>
      <c r="B9" s="2"/>
    </row>
    <row r="10" spans="1:2" x14ac:dyDescent="0.25">
      <c r="A10" s="2"/>
      <c r="B10" s="2"/>
    </row>
    <row r="11" spans="1:2" x14ac:dyDescent="0.25">
      <c r="A11" s="2"/>
      <c r="B11" s="2"/>
    </row>
    <row r="12" spans="1:2" x14ac:dyDescent="0.25">
      <c r="A12" s="2"/>
      <c r="B12" s="2"/>
    </row>
    <row r="13" spans="1:2" x14ac:dyDescent="0.25">
      <c r="A13" s="2"/>
      <c r="B13" s="2"/>
    </row>
    <row r="14" spans="1:2" x14ac:dyDescent="0.25">
      <c r="A14" s="2"/>
      <c r="B14" s="2"/>
    </row>
    <row r="15" spans="1:2" x14ac:dyDescent="0.25">
      <c r="A15" s="2"/>
      <c r="B15" s="2"/>
    </row>
    <row r="16" spans="1:2" x14ac:dyDescent="0.25">
      <c r="A16" s="2"/>
      <c r="B16" s="2"/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  <row r="24" spans="1:2" x14ac:dyDescent="0.25">
      <c r="A24" s="2"/>
      <c r="B24" s="2"/>
    </row>
    <row r="25" spans="1:2" x14ac:dyDescent="0.25">
      <c r="A25" s="2"/>
      <c r="B25" s="2"/>
    </row>
    <row r="26" spans="1:2" x14ac:dyDescent="0.25">
      <c r="A26" s="2"/>
      <c r="B26" s="2"/>
    </row>
    <row r="27" spans="1:2" x14ac:dyDescent="0.25">
      <c r="A27" s="2"/>
      <c r="B27" s="2"/>
    </row>
    <row r="28" spans="1:2" x14ac:dyDescent="0.25">
      <c r="A28" s="2"/>
      <c r="B28" s="2"/>
    </row>
    <row r="29" spans="1:2" x14ac:dyDescent="0.25">
      <c r="A29" s="2"/>
      <c r="B29" s="2"/>
    </row>
    <row r="30" spans="1:2" x14ac:dyDescent="0.25">
      <c r="A30" s="2"/>
      <c r="B30" s="2"/>
    </row>
    <row r="31" spans="1:2" x14ac:dyDescent="0.25">
      <c r="A31" s="2"/>
      <c r="B31" s="2"/>
    </row>
    <row r="32" spans="1:2" x14ac:dyDescent="0.25">
      <c r="A32" s="2"/>
      <c r="B32" s="2"/>
    </row>
    <row r="33" spans="1:2" x14ac:dyDescent="0.25">
      <c r="A33" s="2"/>
      <c r="B33" s="2"/>
    </row>
    <row r="34" spans="1:2" x14ac:dyDescent="0.25">
      <c r="A34" s="2"/>
      <c r="B34" s="2"/>
    </row>
    <row r="35" spans="1:2" x14ac:dyDescent="0.25">
      <c r="A35" s="2"/>
      <c r="B35" s="2"/>
    </row>
    <row r="36" spans="1:2" x14ac:dyDescent="0.25">
      <c r="A36" s="2"/>
      <c r="B36" s="2"/>
    </row>
    <row r="37" spans="1:2" x14ac:dyDescent="0.25">
      <c r="A37" s="2"/>
      <c r="B37" s="2"/>
    </row>
    <row r="38" spans="1:2" x14ac:dyDescent="0.25">
      <c r="A38" s="2"/>
      <c r="B38" s="2"/>
    </row>
    <row r="39" spans="1:2" x14ac:dyDescent="0.25">
      <c r="A39" s="2"/>
      <c r="B39" s="2"/>
    </row>
    <row r="40" spans="1:2" x14ac:dyDescent="0.25">
      <c r="A40" s="2"/>
      <c r="B40" s="2"/>
    </row>
    <row r="41" spans="1:2" x14ac:dyDescent="0.25">
      <c r="A41" s="2"/>
      <c r="B41" s="2"/>
    </row>
    <row r="42" spans="1:2" x14ac:dyDescent="0.25">
      <c r="A42" s="2"/>
      <c r="B42" s="2"/>
    </row>
    <row r="43" spans="1:2" x14ac:dyDescent="0.25">
      <c r="A43" s="2"/>
      <c r="B43" s="2"/>
    </row>
    <row r="44" spans="1:2" x14ac:dyDescent="0.25">
      <c r="A44" s="2"/>
      <c r="B44" s="2"/>
    </row>
    <row r="45" spans="1:2" x14ac:dyDescent="0.25">
      <c r="A45" s="2"/>
      <c r="B45" s="2"/>
    </row>
    <row r="46" spans="1:2" x14ac:dyDescent="0.25">
      <c r="A46" s="2"/>
      <c r="B46" s="2"/>
    </row>
    <row r="47" spans="1:2" x14ac:dyDescent="0.25">
      <c r="A47" s="2"/>
      <c r="B47" s="2"/>
    </row>
    <row r="48" spans="1:2" x14ac:dyDescent="0.25">
      <c r="A48" s="2"/>
      <c r="B48" s="2"/>
    </row>
    <row r="49" spans="1:2" x14ac:dyDescent="0.25">
      <c r="A49" s="2"/>
      <c r="B49" s="2"/>
    </row>
    <row r="50" spans="1:2" x14ac:dyDescent="0.25">
      <c r="A50" s="2"/>
      <c r="B50" s="2"/>
    </row>
    <row r="51" spans="1:2" x14ac:dyDescent="0.25">
      <c r="A51" s="2"/>
      <c r="B51" s="2"/>
    </row>
    <row r="52" spans="1:2" x14ac:dyDescent="0.25">
      <c r="A52" s="2"/>
      <c r="B52" s="2"/>
    </row>
    <row r="53" spans="1:2" x14ac:dyDescent="0.25">
      <c r="A53" s="2"/>
      <c r="B53" s="2"/>
    </row>
    <row r="54" spans="1:2" x14ac:dyDescent="0.25">
      <c r="A54" s="2"/>
      <c r="B54" s="2"/>
    </row>
    <row r="55" spans="1:2" x14ac:dyDescent="0.25">
      <c r="A55" s="2"/>
      <c r="B55" s="2"/>
    </row>
    <row r="56" spans="1:2" x14ac:dyDescent="0.25">
      <c r="A56" s="2"/>
      <c r="B56" s="2"/>
    </row>
    <row r="57" spans="1:2" x14ac:dyDescent="0.25">
      <c r="A57" s="2"/>
      <c r="B57" s="2"/>
    </row>
    <row r="58" spans="1:2" x14ac:dyDescent="0.25">
      <c r="A58" s="2"/>
      <c r="B58" s="2"/>
    </row>
    <row r="59" spans="1:2" x14ac:dyDescent="0.25">
      <c r="A59" s="2"/>
      <c r="B59" s="2"/>
    </row>
    <row r="60" spans="1:2" x14ac:dyDescent="0.25">
      <c r="A60" s="2"/>
      <c r="B60" s="2"/>
    </row>
    <row r="61" spans="1:2" x14ac:dyDescent="0.25">
      <c r="A61" s="2"/>
      <c r="B61" s="2"/>
    </row>
    <row r="62" spans="1:2" x14ac:dyDescent="0.25">
      <c r="A62" s="2"/>
      <c r="B62" s="2"/>
    </row>
    <row r="63" spans="1:2" x14ac:dyDescent="0.25">
      <c r="A63" s="2"/>
      <c r="B63" s="2"/>
    </row>
    <row r="64" spans="1:2" x14ac:dyDescent="0.25">
      <c r="A64" s="2"/>
      <c r="B64" s="2"/>
    </row>
    <row r="65" spans="1:2" x14ac:dyDescent="0.25">
      <c r="A65" s="2"/>
      <c r="B65" s="2"/>
    </row>
    <row r="66" spans="1:2" x14ac:dyDescent="0.25">
      <c r="A66" s="2"/>
      <c r="B66" s="2"/>
    </row>
    <row r="67" spans="1:2" x14ac:dyDescent="0.25">
      <c r="A67" s="2"/>
      <c r="B67" s="2"/>
    </row>
    <row r="68" spans="1:2" x14ac:dyDescent="0.25">
      <c r="A68" s="2"/>
      <c r="B68" s="2"/>
    </row>
    <row r="69" spans="1:2" x14ac:dyDescent="0.25">
      <c r="A69" s="2"/>
      <c r="B69" s="2"/>
    </row>
    <row r="70" spans="1:2" x14ac:dyDescent="0.25">
      <c r="A70" s="2"/>
      <c r="B70" s="2"/>
    </row>
    <row r="71" spans="1:2" x14ac:dyDescent="0.25">
      <c r="A71" s="2"/>
      <c r="B71" s="2"/>
    </row>
    <row r="72" spans="1:2" x14ac:dyDescent="0.25">
      <c r="A72" s="2"/>
      <c r="B72" s="2"/>
    </row>
    <row r="73" spans="1:2" x14ac:dyDescent="0.25">
      <c r="A73" s="2"/>
      <c r="B73" s="2"/>
    </row>
    <row r="74" spans="1:2" x14ac:dyDescent="0.25">
      <c r="A74" s="2"/>
      <c r="B74" s="2"/>
    </row>
    <row r="75" spans="1:2" x14ac:dyDescent="0.25">
      <c r="A75" s="2"/>
      <c r="B75" s="2"/>
    </row>
    <row r="76" spans="1:2" x14ac:dyDescent="0.25">
      <c r="A76" s="2"/>
      <c r="B76" s="2"/>
    </row>
    <row r="77" spans="1:2" x14ac:dyDescent="0.25">
      <c r="A77" s="2"/>
      <c r="B77" s="2"/>
    </row>
    <row r="78" spans="1:2" x14ac:dyDescent="0.25">
      <c r="A78" s="2"/>
      <c r="B78" s="2"/>
    </row>
    <row r="79" spans="1:2" x14ac:dyDescent="0.25">
      <c r="A79" s="2"/>
      <c r="B79" s="2"/>
    </row>
    <row r="80" spans="1:2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</sheetData>
  <sheetProtection sheet="1" objects="1" scenarios="1" insertColumns="0" insertRows="0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heck_drawdown_format">
                <anchor moveWithCells="1" sizeWithCells="1">
                  <from>
                    <xdr:col>3</xdr:col>
                    <xdr:colOff>57150</xdr:colOff>
                    <xdr:row>18</xdr:row>
                    <xdr:rowOff>0</xdr:rowOff>
                  </from>
                  <to>
                    <xdr:col>3</xdr:col>
                    <xdr:colOff>561975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97F69-D506-43A5-85F2-545EB854B02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32DE2-0DCD-436F-9080-BC5AE9AE1729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Sheet9</vt:lpstr>
      <vt:lpstr>Sheet5</vt:lpstr>
      <vt:lpstr>Sheet1</vt:lpstr>
      <vt:lpstr>Sheet2</vt:lpstr>
      <vt:lpstr>Sheet3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Jnyame</dc:creator>
  <cp:lastModifiedBy>Jnyame</cp:lastModifiedBy>
  <dcterms:created xsi:type="dcterms:W3CDTF">2023-07-16T17:08:54Z</dcterms:created>
  <dcterms:modified xsi:type="dcterms:W3CDTF">2023-09-12T11:09:16Z</dcterms:modified>
</cp:coreProperties>
</file>